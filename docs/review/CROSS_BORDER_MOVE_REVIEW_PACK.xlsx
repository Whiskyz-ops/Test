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ules" sheetId="2" state="visible" r:id="rId2"/>
    <sheet name="Open questions" sheetId="3" state="visible" r:id="rId3"/>
    <sheet name="Cases" sheetId="4" state="visible" r:id="rId4"/>
    <sheet name="Guide sample" sheetId="5" state="visible" r:id="rId5"/>
    <sheet name="Context" sheetId="6" state="visible" r:id="rId6"/>
  </sheets>
  <definedNames>
    <definedName name="_xlnm._FilterDatabase" localSheetId="1" hidden="1">'Rules'!$A$1:$M$173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sz val="11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40" customWidth="1" min="5" max="5"/>
  </cols>
  <sheetData>
    <row r="1">
      <c r="A1" s="1" t="inlineStr">
        <is>
          <t>India ⇄ US cross-border moves — professional review pack</t>
        </is>
      </c>
    </row>
    <row r="2">
      <c r="A2" s="2" t="inlineStr">
        <is>
          <t>Built from docs/CROSS_BORDER_MOVE_PLAN.md (commit 4032622). Law as understood on 2 Oct 2026 for US tax year 2026 and India FY 2026-27. Drafts for review, not advice.</t>
        </is>
      </c>
    </row>
    <row r="4" ht="45" customHeight="1">
      <c r="A4" s="3" t="inlineStr">
        <is>
          <t>What this is</t>
        </is>
      </c>
      <c r="B4" s="4" t="inlineStr">
        <is>
          <t>WISING is building support for clients who move between India and the US: returning NRIs and people moving to the US. Before anything is built, every tax rule we plan to apply needs an Indian CA and a US CPA to confirm it, correct it, or say we're missing something.</t>
        </is>
      </c>
    </row>
    <row r="5" ht="105" customHeight="1">
      <c r="A5" s="3" t="inlineStr">
        <is>
          <t>What we ask</t>
        </is>
      </c>
      <c r="B5" s="4" t="inlineStr">
        <is>
          <t>1. Rules: give a verdict on each rule; if it's wrong, write the correct rule and the authority.
2. Open questions: answer the questions we couldn't settle ourselves.
3. Cases: tell us whether each case really behaves differently, and add any case we've missed.
4. Guide sample: tell us whether the step-by-step guidance is at the right level of detail.</t>
        </is>
      </c>
    </row>
    <row r="6" ht="30" customHeight="1">
      <c r="A6" s="3" t="inlineStr">
        <is>
          <t>Who reviews what</t>
        </is>
      </c>
      <c r="B6" s="4" t="inlineStr">
        <is>
          <t>The 'Reviewer' column says who each row is for: India (CA), US (CPA), Treaty (both), or Both. Please answer only what's in your area; choose 'Not my area' otherwise.</t>
        </is>
      </c>
    </row>
    <row r="7" ht="45" customHeight="1">
      <c r="A7" s="3" t="inlineStr">
        <is>
          <t>How to fill it in</t>
        </is>
      </c>
      <c r="B7" s="4" t="inlineStr">
        <is>
          <t>Only the yellow cells. Verdict, Keep-as-a-case and Right-level cells have drop-down lists. Sort by 'Priority' to see the rules tagged Verify first. References like 'plan §8.4' point to the full plan document, sent separately; you don't need it to answer.</t>
        </is>
      </c>
    </row>
    <row r="8" ht="30" customHeight="1">
      <c r="A8" s="3" t="inlineStr">
        <is>
          <t>Section numbers</t>
        </is>
      </c>
      <c r="B8" s="4" t="inlineStr">
        <is>
          <t>Indian sections use ITA 1961 numbering (s.6, s.10(4)(ii), s.115H) unless a row says otherwise. Mapping them to the Income-tax Act 2025 is open question Q-1.</t>
        </is>
      </c>
    </row>
    <row r="10">
      <c r="A10" s="5" t="inlineStr">
        <is>
          <t>Example of a completed row (format only — not a real answer)</t>
        </is>
      </c>
    </row>
    <row r="11">
      <c r="A11" s="6" t="inlineStr">
        <is>
          <t>Ref</t>
        </is>
      </c>
      <c r="B11" s="6" t="inlineStr">
        <is>
          <t>Verdict</t>
        </is>
      </c>
      <c r="C11" s="6" t="inlineStr">
        <is>
          <t>Correct rule (if different)</t>
        </is>
      </c>
      <c r="D11" s="6" t="inlineStr">
        <is>
          <t>Authority / citation</t>
        </is>
      </c>
      <c r="E11" s="6" t="inlineStr">
        <is>
          <t>Comments</t>
        </is>
      </c>
    </row>
    <row r="12">
      <c r="A12" s="7" t="inlineStr">
        <is>
          <t>G-13</t>
        </is>
      </c>
      <c r="B12" s="7" t="inlineStr">
        <is>
          <t>Agree with change</t>
        </is>
      </c>
      <c r="C12" s="7" t="inlineStr">
        <is>
          <t>Also note: 1040-NR with wages subject to withholding is due 15 April.</t>
        </is>
      </c>
      <c r="D12" s="7" t="inlineStr">
        <is>
          <t>Instructions for Form 1040-NR (2026), 'When to file'</t>
        </is>
      </c>
      <c r="E12" s="7" t="inlineStr">
        <is>
          <t>Rest is correct.</t>
        </is>
      </c>
    </row>
    <row r="14">
      <c r="A14" s="5" t="inlineStr">
        <is>
          <t>Progress</t>
        </is>
      </c>
    </row>
    <row r="15">
      <c r="A15" s="4" t="inlineStr">
        <is>
          <t>Rules in this pack</t>
        </is>
      </c>
      <c r="B15" s="4">
        <f>COUNTA(Rules!A2:A173)</f>
        <v/>
      </c>
    </row>
    <row r="16">
      <c r="A16" s="4" t="inlineStr">
        <is>
          <t>Rules with a verdict</t>
        </is>
      </c>
      <c r="B16" s="4">
        <f>COUNTA(Rules!H2:H173)</f>
        <v/>
      </c>
    </row>
    <row r="17">
      <c r="A17" s="4" t="inlineStr">
        <is>
          <t xml:space="preserve">  Agree</t>
        </is>
      </c>
      <c r="B17" s="4">
        <f>COUNTIF(Rules!H2:H173,"Agree")</f>
        <v/>
      </c>
    </row>
    <row r="18">
      <c r="A18" s="4" t="inlineStr">
        <is>
          <t xml:space="preserve">  Agree with change</t>
        </is>
      </c>
      <c r="B18" s="4">
        <f>COUNTIF(Rules!H2:H173,"Agree with change")</f>
        <v/>
      </c>
    </row>
    <row r="19">
      <c r="A19" s="4" t="inlineStr">
        <is>
          <t xml:space="preserve">  Disagree</t>
        </is>
      </c>
      <c r="B19" s="4">
        <f>COUNTIF(Rules!H2:H173,"Disagree")</f>
        <v/>
      </c>
    </row>
    <row r="20">
      <c r="A20" s="4" t="inlineStr">
        <is>
          <t xml:space="preserve">  Not sure / needs research</t>
        </is>
      </c>
      <c r="B20" s="4">
        <f>COUNTIF(Rules!H2:H173,"Not sure / needs research")</f>
        <v/>
      </c>
    </row>
    <row r="21">
      <c r="A21" s="4" t="inlineStr">
        <is>
          <t>High-priority (Verify) rules</t>
        </is>
      </c>
      <c r="B21" s="4">
        <f>COUNTIF(Rules!G2:G173,"1 High")</f>
        <v/>
      </c>
    </row>
    <row r="22">
      <c r="A22" s="4" t="inlineStr">
        <is>
          <t>Open questions</t>
        </is>
      </c>
      <c r="B22" s="4">
        <f>COUNTA('Open questions'!A2:A26)</f>
        <v/>
      </c>
    </row>
    <row r="23">
      <c r="A23" s="4" t="inlineStr">
        <is>
          <t>Open questions answered</t>
        </is>
      </c>
      <c r="B23" s="4">
        <f>COUNTA('Open questions'!D2:D26)</f>
        <v/>
      </c>
    </row>
    <row r="24">
      <c r="A24" s="4" t="inlineStr">
        <is>
          <t>Cases</t>
        </is>
      </c>
      <c r="B24" s="4">
        <f>COUNTA(Cases!A2:A35)</f>
        <v/>
      </c>
    </row>
    <row r="25">
      <c r="A25" s="4" t="inlineStr">
        <is>
          <t>Cases reviewed</t>
        </is>
      </c>
      <c r="B25" s="4">
        <f>COUNTA(Cases!K2:K35)</f>
        <v/>
      </c>
    </row>
  </sheetData>
  <mergeCells count="5">
    <mergeCell ref="B8:E8"/>
    <mergeCell ref="B4:E4"/>
    <mergeCell ref="B6:E6"/>
    <mergeCell ref="B7:E7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26" customWidth="1" min="4" max="4"/>
    <col width="70" customWidth="1" min="5" max="5"/>
    <col width="16" customWidth="1" min="6" max="6"/>
    <col width="10" customWidth="1" min="7" max="7"/>
    <col width="16" customWidth="1" min="8" max="8"/>
    <col width="40" customWidth="1" min="9" max="9"/>
    <col width="26" customWidth="1" min="10" max="10"/>
    <col width="30" customWidth="1" min="11" max="11"/>
    <col width="14" customWidth="1" min="12" max="12"/>
    <col width="11" customWidth="1" min="13" max="13"/>
  </cols>
  <sheetData>
    <row r="1">
      <c r="A1" s="6" t="inlineStr">
        <is>
          <t>Ref</t>
        </is>
      </c>
      <c r="B1" s="6" t="inlineStr">
        <is>
          <t>Scenario</t>
        </is>
      </c>
      <c r="C1" s="6" t="inlineStr">
        <is>
          <t>Reviewer</t>
        </is>
      </c>
      <c r="D1" s="6" t="inlineStr">
        <is>
          <t>Topic</t>
        </is>
      </c>
      <c r="E1" s="6" t="inlineStr">
        <is>
          <t>Rule as drafted</t>
        </is>
      </c>
      <c r="F1" s="6" t="inlineStr">
        <is>
          <t>Our confidence</t>
        </is>
      </c>
      <c r="G1" s="6" t="inlineStr">
        <is>
          <t>Priority</t>
        </is>
      </c>
      <c r="H1" s="6" t="inlineStr">
        <is>
          <t>Verdict</t>
        </is>
      </c>
      <c r="I1" s="6" t="inlineStr">
        <is>
          <t>Correct rule (if different)</t>
        </is>
      </c>
      <c r="J1" s="6" t="inlineStr">
        <is>
          <t>Authority / citation</t>
        </is>
      </c>
      <c r="K1" s="6" t="inlineStr">
        <is>
          <t>Comments</t>
        </is>
      </c>
      <c r="L1" s="6" t="inlineStr">
        <is>
          <t>Reviewed by</t>
        </is>
      </c>
      <c r="M1" s="6" t="inlineStr">
        <is>
          <t>Date</t>
        </is>
      </c>
    </row>
    <row r="2">
      <c r="A2" s="3" t="inlineStr">
        <is>
          <t>R-1</t>
        </is>
      </c>
      <c r="B2" s="4" t="inlineStr">
        <is>
          <t>Both</t>
        </is>
      </c>
      <c r="C2" s="4" t="inlineStr">
        <is>
          <t>India (CA)</t>
        </is>
      </c>
      <c r="D2" s="4" t="inlineStr">
        <is>
          <t>No split year in India</t>
        </is>
      </c>
      <c r="E2" s="4" t="inlineStr">
        <is>
          <t>India's residential status (ROR / RNOR / NR) applies to the whole financial year (1 April – 31 March). A mid-year move does not split the Indian year.</t>
        </is>
      </c>
      <c r="F2" s="4" t="inlineStr">
        <is>
          <t>Certain</t>
        </is>
      </c>
      <c r="G2" s="4">
        <f>IF(ISNUMBER(SEARCH("Verify",F2)),"1 High",IF(ISNUMBER(SEARCH("Likely",F2)),"2 Medium","3 Low"))</f>
        <v/>
      </c>
      <c r="H2" s="8" t="n"/>
      <c r="I2" s="8" t="n"/>
      <c r="J2" s="8" t="n"/>
      <c r="K2" s="8" t="n"/>
      <c r="L2" s="8" t="n"/>
      <c r="M2" s="9" t="n"/>
    </row>
    <row r="3">
      <c r="A3" s="3" t="inlineStr">
        <is>
          <t>R-2</t>
        </is>
      </c>
      <c r="B3" s="4" t="inlineStr">
        <is>
          <t>Moving to the US</t>
        </is>
      </c>
      <c r="C3" s="4" t="inlineStr">
        <is>
          <t>US (CPA)</t>
        </is>
      </c>
      <c r="D3" s="4" t="inlineStr">
        <is>
          <t>US residency start — substantial presence test</t>
        </is>
      </c>
      <c r="E3" s="4" t="inlineStr">
        <is>
          <t>Residency starts on the first day present in the US in the year the test is met, ignoring up to 10 days of earlier presence where the person had a closer connection to India.</t>
        </is>
      </c>
      <c r="F3" s="4" t="inlineStr">
        <is>
          <t>Certain</t>
        </is>
      </c>
      <c r="G3" s="4">
        <f>IF(ISNUMBER(SEARCH("Verify",F3)),"1 High",IF(ISNUMBER(SEARCH("Likely",F3)),"2 Medium","3 Low"))</f>
        <v/>
      </c>
      <c r="H3" s="8" t="n"/>
      <c r="I3" s="8" t="n"/>
      <c r="J3" s="8" t="n"/>
      <c r="K3" s="8" t="n"/>
      <c r="L3" s="8" t="n"/>
      <c r="M3" s="9" t="n"/>
    </row>
    <row r="4">
      <c r="A4" s="3" t="inlineStr">
        <is>
          <t>R-3</t>
        </is>
      </c>
      <c r="B4" s="4" t="inlineStr">
        <is>
          <t>Moving to the US</t>
        </is>
      </c>
      <c r="C4" s="4" t="inlineStr">
        <is>
          <t>US (CPA)</t>
        </is>
      </c>
      <c r="D4" s="4" t="inlineStr">
        <is>
          <t>US residency start — green card</t>
        </is>
      </c>
      <c r="E4" s="4" t="inlineStr">
        <is>
          <t>Residency starts on the first day present in the US as a lawful permanent resident.</t>
        </is>
      </c>
      <c r="F4" s="4" t="inlineStr">
        <is>
          <t>Certain</t>
        </is>
      </c>
      <c r="G4" s="4">
        <f>IF(ISNUMBER(SEARCH("Verify",F4)),"1 High",IF(ISNUMBER(SEARCH("Likely",F4)),"2 Medium","3 Low"))</f>
        <v/>
      </c>
      <c r="H4" s="8" t="n"/>
      <c r="I4" s="8" t="n"/>
      <c r="J4" s="8" t="n"/>
      <c r="K4" s="8" t="n"/>
      <c r="L4" s="8" t="n"/>
      <c r="M4" s="9" t="n"/>
    </row>
    <row r="5">
      <c r="A5" s="3" t="inlineStr">
        <is>
          <t>R-4</t>
        </is>
      </c>
      <c r="B5" s="4" t="inlineStr">
        <is>
          <t>Moving to the US</t>
        </is>
      </c>
      <c r="C5" s="4" t="inlineStr">
        <is>
          <t>US (CPA)</t>
        </is>
      </c>
      <c r="D5" s="4" t="inlineStr">
        <is>
          <t>First-year choice §7701(b)(4)</t>
        </is>
      </c>
      <c r="E5" s="4" t="inlineStr">
        <is>
          <t>Available when the substantial presence test isn't met in the arrival year but is met the next year: needs 31 consecutive days of presence and presence on 75% of the days from then to year-end. The return waits until next year's test is met (Form 4868 extension).</t>
        </is>
      </c>
      <c r="F5" s="4" t="inlineStr">
        <is>
          <t>Certain</t>
        </is>
      </c>
      <c r="G5" s="4">
        <f>IF(ISNUMBER(SEARCH("Verify",F5)),"1 High",IF(ISNUMBER(SEARCH("Likely",F5)),"2 Medium","3 Low"))</f>
        <v/>
      </c>
      <c r="H5" s="8" t="n"/>
      <c r="I5" s="8" t="n"/>
      <c r="J5" s="8" t="n"/>
      <c r="K5" s="8" t="n"/>
      <c r="L5" s="8" t="n"/>
      <c r="M5" s="9" t="n"/>
    </row>
    <row r="6">
      <c r="A6" s="3" t="inlineStr">
        <is>
          <t>R-5</t>
        </is>
      </c>
      <c r="B6" s="4" t="inlineStr">
        <is>
          <t>Returning to India</t>
        </is>
      </c>
      <c r="C6" s="4" t="inlineStr">
        <is>
          <t>US (CPA)</t>
        </is>
      </c>
      <c r="D6" s="4" t="inlineStr">
        <is>
          <t>US residency end date</t>
        </is>
      </c>
      <c r="E6" s="4" t="inlineStr">
        <is>
          <t>Residency ends on the last day present if, for the rest of the year, the person has a tax home in India and a closer connection to India, and is not a US resident the next year. A statement is attached to the return; without that showing, the person is resident to 31 December. (Reg. 301.7701(b)-4)</t>
        </is>
      </c>
      <c r="F6" s="4" t="inlineStr">
        <is>
          <t>Likely (statement requirement to confirm)</t>
        </is>
      </c>
      <c r="G6" s="4">
        <f>IF(ISNUMBER(SEARCH("Verify",F6)),"1 High",IF(ISNUMBER(SEARCH("Likely",F6)),"2 Medium","3 Low"))</f>
        <v/>
      </c>
      <c r="H6" s="8" t="n"/>
      <c r="I6" s="8" t="n"/>
      <c r="J6" s="8" t="n"/>
      <c r="K6" s="8" t="n"/>
      <c r="L6" s="8" t="n"/>
      <c r="M6" s="9" t="n"/>
    </row>
    <row r="7">
      <c r="A7" s="3" t="inlineStr">
        <is>
          <t>R-6</t>
        </is>
      </c>
      <c r="B7" s="4" t="inlineStr">
        <is>
          <t>Returning to India</t>
        </is>
      </c>
      <c r="C7" s="4" t="inlineStr">
        <is>
          <t>US (CPA)</t>
        </is>
      </c>
      <c r="D7" s="4" t="inlineStr">
        <is>
          <t>Green card end of residency</t>
        </is>
      </c>
      <c r="E7" s="4" t="inlineStr">
        <is>
          <t>US residency continues until the green card is surrendered (Form I-407) or abandonment is determined.</t>
        </is>
      </c>
      <c r="F7" s="4" t="inlineStr">
        <is>
          <t>Certain</t>
        </is>
      </c>
      <c r="G7" s="4">
        <f>IF(ISNUMBER(SEARCH("Verify",F7)),"1 High",IF(ISNUMBER(SEARCH("Likely",F7)),"2 Medium","3 Low"))</f>
        <v/>
      </c>
      <c r="H7" s="8" t="n"/>
      <c r="I7" s="8" t="n"/>
      <c r="J7" s="8" t="n"/>
      <c r="K7" s="8" t="n"/>
      <c r="L7" s="8" t="n"/>
      <c r="M7" s="9" t="n"/>
    </row>
    <row r="8">
      <c r="A8" s="3" t="inlineStr">
        <is>
          <t>R-7</t>
        </is>
      </c>
      <c r="B8" s="4" t="inlineStr">
        <is>
          <t>Both</t>
        </is>
      </c>
      <c r="C8" s="4" t="inlineStr">
        <is>
          <t>US (CPA)</t>
        </is>
      </c>
      <c r="D8" s="4" t="inlineStr">
        <is>
          <t>US citizens</t>
        </is>
      </c>
      <c r="E8" s="4" t="inlineStr">
        <is>
          <t>US citizens never stop being US tax residents; a move changes FEIE and foreign-tax-credit planning, not the scope of US tax.</t>
        </is>
      </c>
      <c r="F8" s="4" t="inlineStr">
        <is>
          <t>Certain</t>
        </is>
      </c>
      <c r="G8" s="4">
        <f>IF(ISNUMBER(SEARCH("Verify",F8)),"1 High",IF(ISNUMBER(SEARCH("Likely",F8)),"2 Medium","3 Low"))</f>
        <v/>
      </c>
      <c r="H8" s="8" t="n"/>
      <c r="I8" s="8" t="n"/>
      <c r="J8" s="8" t="n"/>
      <c r="K8" s="8" t="n"/>
      <c r="L8" s="8" t="n"/>
      <c r="M8" s="9" t="n"/>
    </row>
    <row r="9">
      <c r="A9" s="3" t="inlineStr">
        <is>
          <t>R-8</t>
        </is>
      </c>
      <c r="B9" s="4" t="inlineStr">
        <is>
          <t>Both</t>
        </is>
      </c>
      <c r="C9" s="4" t="inlineStr">
        <is>
          <t>India (CA)</t>
        </is>
      </c>
      <c r="D9" s="4" t="inlineStr">
        <is>
          <t>India residency tests (s.6)</t>
        </is>
      </c>
      <c r="E9" s="4" t="inlineStr">
        <is>
          <t>Resident if in India 182+ days in the FY, or 60+ days in the FY and 365+ days over the previous 4 FYs. The 60-day limb becomes 182 days for an Indian citizen leaving India for employment abroad (Explanation 1(a)) and for a citizen or person of Indian origin on a visit; for a visitor with Indian income over ₹15L it becomes 120 days.</t>
        </is>
      </c>
      <c r="F9" s="4" t="inlineStr">
        <is>
          <t>Certain</t>
        </is>
      </c>
      <c r="G9" s="4">
        <f>IF(ISNUMBER(SEARCH("Verify",F9)),"1 High",IF(ISNUMBER(SEARCH("Likely",F9)),"2 Medium","3 Low"))</f>
        <v/>
      </c>
      <c r="H9" s="8" t="n"/>
      <c r="I9" s="8" t="n"/>
      <c r="J9" s="8" t="n"/>
      <c r="K9" s="8" t="n"/>
      <c r="L9" s="8" t="n"/>
      <c r="M9" s="9" t="n"/>
    </row>
    <row r="10">
      <c r="A10" s="3" t="inlineStr">
        <is>
          <t>R-9</t>
        </is>
      </c>
      <c r="B10" s="4" t="inlineStr">
        <is>
          <t>Returning to India</t>
        </is>
      </c>
      <c r="C10" s="4" t="inlineStr">
        <is>
          <t>India (CA)</t>
        </is>
      </c>
      <c r="D10" s="4" t="inlineStr">
        <is>
          <t>RNOR</t>
        </is>
      </c>
      <c r="E10" s="4" t="inlineStr">
        <is>
          <t>RNOR if non-resident in 9 of the previous 10 FYs, or in India 729 days or fewer over the previous 7 FYs. Also RNOR: deemed residents under s.6(1A) and visitors resident under the 120-day rule.</t>
        </is>
      </c>
      <c r="F10" s="4" t="inlineStr">
        <is>
          <t>Certain</t>
        </is>
      </c>
      <c r="G10" s="4">
        <f>IF(ISNUMBER(SEARCH("Verify",F10)),"1 High",IF(ISNUMBER(SEARCH("Likely",F10)),"2 Medium","3 Low"))</f>
        <v/>
      </c>
      <c r="H10" s="8" t="n"/>
      <c r="I10" s="8" t="n"/>
      <c r="J10" s="8" t="n"/>
      <c r="K10" s="8" t="n"/>
      <c r="L10" s="8" t="n"/>
      <c r="M10" s="9" t="n"/>
    </row>
    <row r="11">
      <c r="A11" s="3" t="inlineStr">
        <is>
          <t>R-10</t>
        </is>
      </c>
      <c r="B11" s="4" t="inlineStr">
        <is>
          <t>Returning to India</t>
        </is>
      </c>
      <c r="C11" s="4" t="inlineStr">
        <is>
          <t>India (CA)</t>
        </is>
      </c>
      <c r="D11" s="4" t="inlineStr">
        <is>
          <t>Returning for good is not a visit</t>
        </is>
      </c>
      <c r="E11" s="4" t="inlineStr">
        <is>
          <t>A person returning to India permanently is not 'on a visit', so the plain 60-day limb (with 365 days over 4 years) applies.</t>
        </is>
      </c>
      <c r="F11" s="4" t="inlineStr">
        <is>
          <t>Likely (practitioner consensus)</t>
        </is>
      </c>
      <c r="G11" s="4">
        <f>IF(ISNUMBER(SEARCH("Verify",F11)),"1 High",IF(ISNUMBER(SEARCH("Likely",F11)),"2 Medium","3 Low"))</f>
        <v/>
      </c>
      <c r="H11" s="8" t="n"/>
      <c r="I11" s="8" t="n"/>
      <c r="J11" s="8" t="n"/>
      <c r="K11" s="8" t="n"/>
      <c r="L11" s="8" t="n"/>
      <c r="M11" s="9" t="n"/>
    </row>
    <row r="12">
      <c r="A12" s="3" t="inlineStr">
        <is>
          <t>R-11</t>
        </is>
      </c>
      <c r="B12" s="4" t="inlineStr">
        <is>
          <t>Both</t>
        </is>
      </c>
      <c r="C12" s="4" t="inlineStr">
        <is>
          <t>US (CPA)</t>
        </is>
      </c>
      <c r="D12" s="4" t="inlineStr">
        <is>
          <t>Dual-status income attribution</t>
        </is>
      </c>
      <c r="E12" s="4" t="inlineStr">
        <is>
          <t>In a dual-status year each item is taxed under the rules of the period in which it was received or accrued (resident period: worldwide; non-resident period: US-source / effectively connected only), not by day-count.</t>
        </is>
      </c>
      <c r="F12" s="4" t="inlineStr">
        <is>
          <t>Likely (Reg. 1.871-13)</t>
        </is>
      </c>
      <c r="G12" s="4">
        <f>IF(ISNUMBER(SEARCH("Verify",F12)),"1 High",IF(ISNUMBER(SEARCH("Likely",F12)),"2 Medium","3 Low"))</f>
        <v/>
      </c>
      <c r="H12" s="8" t="n"/>
      <c r="I12" s="8" t="n"/>
      <c r="J12" s="8" t="n"/>
      <c r="K12" s="8" t="n"/>
      <c r="L12" s="8" t="n"/>
      <c r="M12" s="9" t="n"/>
    </row>
    <row r="13">
      <c r="A13" s="3" t="inlineStr">
        <is>
          <t>T-1</t>
        </is>
      </c>
      <c r="B13" s="4" t="inlineStr">
        <is>
          <t>Both</t>
        </is>
      </c>
      <c r="C13" s="4" t="inlineStr">
        <is>
          <t>Treaty (CA + CPA)</t>
        </is>
      </c>
      <c r="D13" s="4" t="inlineStr">
        <is>
          <t>Art. 1(3) saving clause</t>
        </is>
      </c>
      <c r="E13" s="4" t="inlineStr">
        <is>
          <t>The US taxes its citizens and residents as if the treaty didn't exist, except for the articles listed (including 19, 21, 22, 25). Green-card holders are US residents for this purpose.</t>
        </is>
      </c>
      <c r="F13" s="4" t="inlineStr">
        <is>
          <t>Certain</t>
        </is>
      </c>
      <c r="G13" s="4">
        <f>IF(ISNUMBER(SEARCH("Verify",F13)),"1 High",IF(ISNUMBER(SEARCH("Likely",F13)),"2 Medium","3 Low"))</f>
        <v/>
      </c>
      <c r="H13" s="8" t="n"/>
      <c r="I13" s="8" t="n"/>
      <c r="J13" s="8" t="n"/>
      <c r="K13" s="8" t="n"/>
      <c r="L13" s="8" t="n"/>
      <c r="M13" s="9" t="n"/>
    </row>
    <row r="14">
      <c r="A14" s="3" t="inlineStr">
        <is>
          <t>T-2</t>
        </is>
      </c>
      <c r="B14" s="4" t="inlineStr">
        <is>
          <t>Both</t>
        </is>
      </c>
      <c r="C14" s="4" t="inlineStr">
        <is>
          <t>Treaty (CA + CPA)</t>
        </is>
      </c>
      <c r="D14" s="4" t="inlineStr">
        <is>
          <t>Art. 4 residence tie-breaker</t>
        </is>
      </c>
      <c r="E14" s="4" t="inlineStr">
        <is>
          <t>Applied to the overlap window, not the whole year: permanent home, then centre of vital interests, then habitual abode, then nationality.</t>
        </is>
      </c>
      <c r="F14" s="4" t="inlineStr">
        <is>
          <t>Likely (period-wise application is practice, not text — Verify)</t>
        </is>
      </c>
      <c r="G14" s="4">
        <f>IF(ISNUMBER(SEARCH("Verify",F14)),"1 High",IF(ISNUMBER(SEARCH("Likely",F14)),"2 Medium","3 Low"))</f>
        <v/>
      </c>
      <c r="H14" s="8" t="n"/>
      <c r="I14" s="8" t="n"/>
      <c r="J14" s="8" t="n"/>
      <c r="K14" s="8" t="n"/>
      <c r="L14" s="8" t="n"/>
      <c r="M14" s="9" t="n"/>
    </row>
    <row r="15">
      <c r="A15" s="3" t="inlineStr">
        <is>
          <t>T-3</t>
        </is>
      </c>
      <c r="B15" s="4" t="inlineStr">
        <is>
          <t>Both</t>
        </is>
      </c>
      <c r="C15" s="4" t="inlineStr">
        <is>
          <t>Treaty (CA + CPA)</t>
        </is>
      </c>
      <c r="D15" s="4" t="inlineStr">
        <is>
          <t>Art. 6 immovable property</t>
        </is>
      </c>
      <c r="E15" s="4" t="inlineStr">
        <is>
          <t>Rent from a home kept in the other country. The country where the property sits may tax; the residence country credits.</t>
        </is>
      </c>
      <c r="F15" s="4" t="inlineStr">
        <is>
          <t>Certain</t>
        </is>
      </c>
      <c r="G15" s="4">
        <f>IF(ISNUMBER(SEARCH("Verify",F15)),"1 High",IF(ISNUMBER(SEARCH("Likely",F15)),"2 Medium","3 Low"))</f>
        <v/>
      </c>
      <c r="H15" s="8" t="n"/>
      <c r="I15" s="8" t="n"/>
      <c r="J15" s="8" t="n"/>
      <c r="K15" s="8" t="n"/>
      <c r="L15" s="8" t="n"/>
      <c r="M15" s="9" t="n"/>
    </row>
    <row r="16">
      <c r="A16" s="3" t="inlineStr">
        <is>
          <t>T-4</t>
        </is>
      </c>
      <c r="B16" s="4" t="inlineStr">
        <is>
          <t>Both</t>
        </is>
      </c>
      <c r="C16" s="4" t="inlineStr">
        <is>
          <t>Treaty (CA + CPA)</t>
        </is>
      </c>
      <c r="D16" s="4" t="inlineStr">
        <is>
          <t>Art. 10 / 11 dividends, interest</t>
        </is>
      </c>
      <c r="E16" s="4" t="inlineStr">
        <is>
          <t>Source country rate caps. Dividends: 15% (10%+ holding) / 25% other. Interest: 10% (bank or financial institution) / 15% other.</t>
        </is>
      </c>
      <c r="F16" s="4" t="inlineStr">
        <is>
          <t>Likely (Verify rates)</t>
        </is>
      </c>
      <c r="G16" s="4">
        <f>IF(ISNUMBER(SEARCH("Verify",F16)),"1 High",IF(ISNUMBER(SEARCH("Likely",F16)),"2 Medium","3 Low"))</f>
        <v/>
      </c>
      <c r="H16" s="8" t="n"/>
      <c r="I16" s="8" t="n"/>
      <c r="J16" s="8" t="n"/>
      <c r="K16" s="8" t="n"/>
      <c r="L16" s="8" t="n"/>
      <c r="M16" s="9" t="n"/>
    </row>
    <row r="17">
      <c r="A17" s="3" t="inlineStr">
        <is>
          <t>T-5</t>
        </is>
      </c>
      <c r="B17" s="4" t="inlineStr">
        <is>
          <t>Both</t>
        </is>
      </c>
      <c r="C17" s="4" t="inlineStr">
        <is>
          <t>Treaty (CA + CPA)</t>
        </is>
      </c>
      <c r="D17" s="4" t="inlineStr">
        <is>
          <t>Art. 13 capital gains</t>
        </is>
      </c>
      <c r="E17" s="4" t="inlineStr">
        <is>
          <t>Each country taxes under its own domestic law. No treaty exemption, so relief comes only through Art. 25 credit.</t>
        </is>
      </c>
      <c r="F17" s="4" t="inlineStr">
        <is>
          <t>Certain</t>
        </is>
      </c>
      <c r="G17" s="4">
        <f>IF(ISNUMBER(SEARCH("Verify",F17)),"1 High",IF(ISNUMBER(SEARCH("Likely",F17)),"2 Medium","3 Low"))</f>
        <v/>
      </c>
      <c r="H17" s="8" t="n"/>
      <c r="I17" s="8" t="n"/>
      <c r="J17" s="8" t="n"/>
      <c r="K17" s="8" t="n"/>
      <c r="L17" s="8" t="n"/>
      <c r="M17" s="9" t="n"/>
    </row>
    <row r="18">
      <c r="A18" s="3" t="inlineStr">
        <is>
          <t>T-6</t>
        </is>
      </c>
      <c r="B18" s="4" t="inlineStr">
        <is>
          <t>Both</t>
        </is>
      </c>
      <c r="C18" s="4" t="inlineStr">
        <is>
          <t>Treaty (CA + CPA)</t>
        </is>
      </c>
      <c r="D18" s="4" t="inlineStr">
        <is>
          <t>Art. 16 employment</t>
        </is>
      </c>
      <c r="E18" s="4" t="inlineStr">
        <is>
          <t>Pay is taxed where the work is done. The 183-day / foreign-employer / no-recharge exemption rarely helps in a move year.</t>
        </is>
      </c>
      <c r="F18" s="4" t="inlineStr">
        <is>
          <t>Certain</t>
        </is>
      </c>
      <c r="G18" s="4">
        <f>IF(ISNUMBER(SEARCH("Verify",F18)),"1 High",IF(ISNUMBER(SEARCH("Likely",F18)),"2 Medium","3 Low"))</f>
        <v/>
      </c>
      <c r="H18" s="8" t="n"/>
      <c r="I18" s="8" t="n"/>
      <c r="J18" s="8" t="n"/>
      <c r="K18" s="8" t="n"/>
      <c r="L18" s="8" t="n"/>
      <c r="M18" s="9" t="n"/>
    </row>
    <row r="19">
      <c r="A19" s="3" t="inlineStr">
        <is>
          <t>T-7</t>
        </is>
      </c>
      <c r="B19" s="4" t="inlineStr">
        <is>
          <t>Both</t>
        </is>
      </c>
      <c r="C19" s="4" t="inlineStr">
        <is>
          <t>Treaty (CA + CPA)</t>
        </is>
      </c>
      <c r="D19" s="4" t="inlineStr">
        <is>
          <t>Art. 20 private pensions</t>
        </is>
      </c>
      <c r="E19" s="4" t="inlineStr">
        <is>
          <t>Pensions and annuities are taxable only in the country of residence. Our current reading, already reviewed by a CPA: for an India resident filing Form 1040-NR, periodic payments (including SEPP payments while the schedule holds) are exempt under Art. 20(1); lump sums are taxed as FDAP at 30% plus §72(t); a broken SEPP is treated as a lump sum.</t>
        </is>
      </c>
      <c r="F19" s="4" t="inlineStr">
        <is>
          <t>Built, with the CPA's reading</t>
        </is>
      </c>
      <c r="G19" s="4">
        <f>IF(ISNUMBER(SEARCH("Verify",F19)),"1 High",IF(ISNUMBER(SEARCH("Likely",F19)),"2 Medium","3 Low"))</f>
        <v/>
      </c>
      <c r="H19" s="8" t="n"/>
      <c r="I19" s="8" t="n"/>
      <c r="J19" s="8" t="n"/>
      <c r="K19" s="8" t="n"/>
      <c r="L19" s="8" t="n"/>
      <c r="M19" s="9" t="n"/>
    </row>
    <row r="20">
      <c r="A20" s="3" t="inlineStr">
        <is>
          <t>T-8</t>
        </is>
      </c>
      <c r="B20" s="4" t="inlineStr">
        <is>
          <t>Both</t>
        </is>
      </c>
      <c r="C20" s="4" t="inlineStr">
        <is>
          <t>Treaty (CA + CPA)</t>
        </is>
      </c>
      <c r="D20" s="4" t="inlineStr">
        <is>
          <t>Art. 21 students and apprentices</t>
        </is>
      </c>
      <c r="E20" s="4" t="inlineStr">
        <is>
          <t>Art. 21(2): standard deduction on Form 1040-NR. Art. 21(1): payments from outside the US for maintenance and study are exempt; Art. 1(4)(b) keeps this for a resident alien but not for a citizen or green-card holder.</t>
        </is>
      </c>
      <c r="F20" s="4" t="inlineStr">
        <is>
          <t>Certain</t>
        </is>
      </c>
      <c r="G20" s="4">
        <f>IF(ISNUMBER(SEARCH("Verify",F20)),"1 High",IF(ISNUMBER(SEARCH("Likely",F20)),"2 Medium","3 Low"))</f>
        <v/>
      </c>
      <c r="H20" s="8" t="n"/>
      <c r="I20" s="8" t="n"/>
      <c r="J20" s="8" t="n"/>
      <c r="K20" s="8" t="n"/>
      <c r="L20" s="8" t="n"/>
      <c r="M20" s="9" t="n"/>
    </row>
    <row r="21">
      <c r="A21" s="3" t="inlineStr">
        <is>
          <t>T-9</t>
        </is>
      </c>
      <c r="B21" s="4" t="inlineStr">
        <is>
          <t>Both</t>
        </is>
      </c>
      <c r="C21" s="4" t="inlineStr">
        <is>
          <t>Treaty (CA + CPA)</t>
        </is>
      </c>
      <c r="D21" s="4" t="inlineStr">
        <is>
          <t>Art. 22 professors and researchers</t>
        </is>
      </c>
      <c r="E21" s="4" t="inlineStr">
        <is>
          <t>Teaching and research pay is exempt for two years from the date of arrival when the person was resident in India immediately before. Art. 1(4)(b) keeps it for a resident alien, not for a citizen or green-card holder.</t>
        </is>
      </c>
      <c r="F21" s="4" t="inlineStr">
        <is>
          <t>Built</t>
        </is>
      </c>
      <c r="G21" s="4">
        <f>IF(ISNUMBER(SEARCH("Verify",F21)),"1 High",IF(ISNUMBER(SEARCH("Likely",F21)),"2 Medium","3 Low"))</f>
        <v/>
      </c>
      <c r="H21" s="8" t="n"/>
      <c r="I21" s="8" t="n"/>
      <c r="J21" s="8" t="n"/>
      <c r="K21" s="8" t="n"/>
      <c r="L21" s="8" t="n"/>
      <c r="M21" s="9" t="n"/>
    </row>
    <row r="22">
      <c r="A22" s="3" t="inlineStr">
        <is>
          <t>T-10</t>
        </is>
      </c>
      <c r="B22" s="4" t="inlineStr">
        <is>
          <t>Both</t>
        </is>
      </c>
      <c r="C22" s="4" t="inlineStr">
        <is>
          <t>Treaty (CA + CPA)</t>
        </is>
      </c>
      <c r="D22" s="4" t="inlineStr">
        <is>
          <t>Art. 23 other income</t>
        </is>
      </c>
      <c r="E22" s="4" t="inlineStr">
        <is>
          <t>Catch-all. The source country may also tax.</t>
        </is>
      </c>
      <c r="F22" s="4" t="inlineStr">
        <is>
          <t>Likely</t>
        </is>
      </c>
      <c r="G22" s="4">
        <f>IF(ISNUMBER(SEARCH("Verify",F22)),"1 High",IF(ISNUMBER(SEARCH("Likely",F22)),"2 Medium","3 Low"))</f>
        <v/>
      </c>
      <c r="H22" s="8" t="n"/>
      <c r="I22" s="8" t="n"/>
      <c r="J22" s="8" t="n"/>
      <c r="K22" s="8" t="n"/>
      <c r="L22" s="8" t="n"/>
      <c r="M22" s="9" t="n"/>
    </row>
    <row r="23">
      <c r="A23" s="3" t="inlineStr">
        <is>
          <t>T-11</t>
        </is>
      </c>
      <c r="B23" s="4" t="inlineStr">
        <is>
          <t>Both</t>
        </is>
      </c>
      <c r="C23" s="4" t="inlineStr">
        <is>
          <t>Treaty (CA + CPA)</t>
        </is>
      </c>
      <c r="D23" s="4" t="inlineStr">
        <is>
          <t>Art. 25 relief</t>
        </is>
      </c>
      <c r="E23" s="4" t="inlineStr">
        <is>
          <t>India: credit for US tax on US-source income (s.90 / s.159, Form 44). US: Form 1116, with Art. 25(3) re-sourcing so India-taxed income counts as foreign-source for a US resident.</t>
        </is>
      </c>
      <c r="F23" s="4" t="inlineStr">
        <is>
          <t>Likely (Verify Art. 25(3) scope for capital gains)</t>
        </is>
      </c>
      <c r="G23" s="4">
        <f>IF(ISNUMBER(SEARCH("Verify",F23)),"1 High",IF(ISNUMBER(SEARCH("Likely",F23)),"2 Medium","3 Low"))</f>
        <v/>
      </c>
      <c r="H23" s="8" t="n"/>
      <c r="I23" s="8" t="n"/>
      <c r="J23" s="8" t="n"/>
      <c r="K23" s="8" t="n"/>
      <c r="L23" s="8" t="n"/>
      <c r="M23" s="9" t="n"/>
    </row>
    <row r="24">
      <c r="A24" s="3" t="inlineStr">
        <is>
          <t>A-US-1</t>
        </is>
      </c>
      <c r="B24" s="4" t="inlineStr">
        <is>
          <t>Returning to India</t>
        </is>
      </c>
      <c r="C24" s="4" t="inlineStr">
        <is>
          <t>US (CPA)</t>
        </is>
      </c>
      <c r="D24" s="4" t="inlineStr">
        <is>
          <t>Residency end date</t>
        </is>
      </c>
      <c r="E24" s="4" t="inlineStr">
        <is>
          <t>Last day present if tax home and closer connection are in India for the rest of the year and not a US resident next year; otherwise 31 Dec. Needs a statement with the return.</t>
        </is>
      </c>
      <c r="F24" s="4" t="inlineStr">
        <is>
          <t>Likely</t>
        </is>
      </c>
      <c r="G24" s="4">
        <f>IF(ISNUMBER(SEARCH("Verify",F24)),"1 High",IF(ISNUMBER(SEARCH("Likely",F24)),"2 Medium","3 Low"))</f>
        <v/>
      </c>
      <c r="H24" s="8" t="n"/>
      <c r="I24" s="8" t="n"/>
      <c r="J24" s="8" t="n"/>
      <c r="K24" s="8" t="n"/>
      <c r="L24" s="8" t="n"/>
      <c r="M24" s="9" t="n"/>
    </row>
    <row r="25">
      <c r="A25" s="3" t="inlineStr">
        <is>
          <t>A-US-2</t>
        </is>
      </c>
      <c r="B25" s="4" t="inlineStr">
        <is>
          <t>Returning to India</t>
        </is>
      </c>
      <c r="C25" s="4" t="inlineStr">
        <is>
          <t>US (CPA)</t>
        </is>
      </c>
      <c r="D25" s="4" t="inlineStr">
        <is>
          <t>Return form</t>
        </is>
      </c>
      <c r="E25" s="4" t="inlineStr">
        <is>
          <t>Nonresident at year end → 1040-NR is the return, 1040 is the attached statement.</t>
        </is>
      </c>
      <c r="F25" s="4" t="inlineStr">
        <is>
          <t>Certain</t>
        </is>
      </c>
      <c r="G25" s="4">
        <f>IF(ISNUMBER(SEARCH("Verify",F25)),"1 High",IF(ISNUMBER(SEARCH("Likely",F25)),"2 Medium","3 Low"))</f>
        <v/>
      </c>
      <c r="H25" s="8" t="n"/>
      <c r="I25" s="8" t="n"/>
      <c r="J25" s="8" t="n"/>
      <c r="K25" s="8" t="n"/>
      <c r="L25" s="8" t="n"/>
      <c r="M25" s="9" t="n"/>
    </row>
    <row r="26">
      <c r="A26" s="3" t="inlineStr">
        <is>
          <t>A-US-3</t>
        </is>
      </c>
      <c r="B26" s="4" t="inlineStr">
        <is>
          <t>Returning to India</t>
        </is>
      </c>
      <c r="C26" s="4" t="inlineStr">
        <is>
          <t>US (CPA)</t>
        </is>
      </c>
      <c r="D26" s="4" t="inlineStr">
        <is>
          <t>Filing status / deduction</t>
        </is>
      </c>
      <c r="E26" s="4" t="inlineStr">
        <is>
          <t>No standard deduction. MFJ only with a §6013(g)/(h) election, generally not open to a couple who are both departing.</t>
        </is>
      </c>
      <c r="F26" s="4" t="inlineStr">
        <is>
          <t>Certain</t>
        </is>
      </c>
      <c r="G26" s="4">
        <f>IF(ISNUMBER(SEARCH("Verify",F26)),"1 High",IF(ISNUMBER(SEARCH("Likely",F26)),"2 Medium","3 Low"))</f>
        <v/>
      </c>
      <c r="H26" s="8" t="n"/>
      <c r="I26" s="8" t="n"/>
      <c r="J26" s="8" t="n"/>
      <c r="K26" s="8" t="n"/>
      <c r="L26" s="8" t="n"/>
      <c r="M26" s="9" t="n"/>
    </row>
    <row r="27">
      <c r="A27" s="3" t="inlineStr">
        <is>
          <t>A-US-4</t>
        </is>
      </c>
      <c r="B27" s="4" t="inlineStr">
        <is>
          <t>Returning to India</t>
        </is>
      </c>
      <c r="C27" s="4" t="inlineStr">
        <is>
          <t>US (CPA)</t>
        </is>
      </c>
      <c r="D27" s="4" t="inlineStr">
        <is>
          <t>Income attribution defaults</t>
        </is>
      </c>
      <c r="E27" s="4" t="inlineStr">
        <is>
          <t>US W-2 wages → resident. Indian salary after return → nonresident, not US-taxable. Final paycheck, PTO payout or severance after departure → nonresident, US-source, effectively connected. RSU vest after departure → nonresident, US-source share = US workdays ÷ total workdays from grant to vest.</t>
        </is>
      </c>
      <c r="F27" s="4" t="inlineStr">
        <is>
          <t>Certain (sourcing) / Likely (severance)</t>
        </is>
      </c>
      <c r="G27" s="4">
        <f>IF(ISNUMBER(SEARCH("Verify",F27)),"1 High",IF(ISNUMBER(SEARCH("Likely",F27)),"2 Medium","3 Low"))</f>
        <v/>
      </c>
      <c r="H27" s="8" t="n"/>
      <c r="I27" s="8" t="n"/>
      <c r="J27" s="8" t="n"/>
      <c r="K27" s="8" t="n"/>
      <c r="L27" s="8" t="n"/>
      <c r="M27" s="9" t="n"/>
    </row>
    <row r="28">
      <c r="A28" s="3" t="inlineStr">
        <is>
          <t>A-US-5</t>
        </is>
      </c>
      <c r="B28" s="4" t="inlineStr">
        <is>
          <t>Returning to India</t>
        </is>
      </c>
      <c r="C28" s="4" t="inlineStr">
        <is>
          <t>US (CPA)</t>
        </is>
      </c>
      <c r="D28" s="4" t="inlineStr">
        <is>
          <t>Nonresident-period passive income</t>
        </is>
      </c>
      <c r="E28" s="4" t="inlineStr">
        <is>
          <t>US bank interest and portfolio interest: exempt. Dividends: 30%, or the treaty rate (Art. 10) with a W-8BEN. Stock gains: not taxed unless 183+ days present (§871(a)(2)).</t>
        </is>
      </c>
      <c r="F28" s="4" t="inlineStr">
        <is>
          <t>Likely</t>
        </is>
      </c>
      <c r="G28" s="4">
        <f>IF(ISNUMBER(SEARCH("Verify",F28)),"1 High",IF(ISNUMBER(SEARCH("Likely",F28)),"2 Medium","3 Low"))</f>
        <v/>
      </c>
      <c r="H28" s="8" t="n"/>
      <c r="I28" s="8" t="n"/>
      <c r="J28" s="8" t="n"/>
      <c r="K28" s="8" t="n"/>
      <c r="L28" s="8" t="n"/>
      <c r="M28" s="9" t="n"/>
    </row>
    <row r="29">
      <c r="A29" s="3" t="inlineStr">
        <is>
          <t>A-US-6</t>
        </is>
      </c>
      <c r="B29" s="4" t="inlineStr">
        <is>
          <t>Returning to India</t>
        </is>
      </c>
      <c r="C29" s="4" t="inlineStr">
        <is>
          <t>US (CPA)</t>
        </is>
      </c>
      <c r="D29" s="4" t="inlineStr">
        <is>
          <t>US rental kept</t>
        </is>
      </c>
      <c r="E29" s="4" t="inlineStr">
        <is>
          <t>Nonresident: 30% of gross rent unless the §871(d) net-basis election is made → 1040-NR. Sale: FIRPTA withholding (15%), §121 if lived in 2 of the last 5 years, depreciation recapture.</t>
        </is>
      </c>
      <c r="F29" s="4" t="inlineStr">
        <is>
          <t>Certain</t>
        </is>
      </c>
      <c r="G29" s="4">
        <f>IF(ISNUMBER(SEARCH("Verify",F29)),"1 High",IF(ISNUMBER(SEARCH("Likely",F29)),"2 Medium","3 Low"))</f>
        <v/>
      </c>
      <c r="H29" s="8" t="n"/>
      <c r="I29" s="8" t="n"/>
      <c r="J29" s="8" t="n"/>
      <c r="K29" s="8" t="n"/>
      <c r="L29" s="8" t="n"/>
      <c r="M29" s="9" t="n"/>
    </row>
    <row r="30">
      <c r="A30" s="3" t="inlineStr">
        <is>
          <t>A-US-7</t>
        </is>
      </c>
      <c r="B30" s="4" t="inlineStr">
        <is>
          <t>Returning to India</t>
        </is>
      </c>
      <c r="C30" s="4" t="inlineStr">
        <is>
          <t>US (CPA)</t>
        </is>
      </c>
      <c r="D30" s="4" t="inlineStr">
        <is>
          <t>Departure clearance</t>
        </is>
      </c>
      <c r="E30" s="4" t="inlineStr">
        <is>
          <t>Departing aliens must get a certificate (Form 1040-C, or Form 2063 if no taxable income) before leaving. Exceptions exist; rarely enforced.</t>
        </is>
      </c>
      <c r="F30" s="4" t="inlineStr">
        <is>
          <t>Certain (requirement) / Likely (enforcement)</t>
        </is>
      </c>
      <c r="G30" s="4">
        <f>IF(ISNUMBER(SEARCH("Verify",F30)),"1 High",IF(ISNUMBER(SEARCH("Likely",F30)),"2 Medium","3 Low"))</f>
        <v/>
      </c>
      <c r="H30" s="8" t="n"/>
      <c r="I30" s="8" t="n"/>
      <c r="J30" s="8" t="n"/>
      <c r="K30" s="8" t="n"/>
      <c r="L30" s="8" t="n"/>
      <c r="M30" s="9" t="n"/>
    </row>
    <row r="31">
      <c r="A31" s="3" t="inlineStr">
        <is>
          <t>A-US-8</t>
        </is>
      </c>
      <c r="B31" s="4" t="inlineStr">
        <is>
          <t>Returning to India</t>
        </is>
      </c>
      <c r="C31" s="4" t="inlineStr">
        <is>
          <t>US (CPA)</t>
        </is>
      </c>
      <c r="D31" s="4" t="inlineStr">
        <is>
          <t>Green-card exit</t>
        </is>
      </c>
      <c r="E31" s="4" t="inlineStr">
        <is>
          <t>Residency lasts until I-407. Long-term resident (8 of 15 years) → §877A tests and Form 8854. Claiming India residence under the treaty as a long-term resident is itself expatriation (§7701(b)(6)).</t>
        </is>
      </c>
      <c r="F31" s="4" t="inlineStr">
        <is>
          <t>Certain</t>
        </is>
      </c>
      <c r="G31" s="4">
        <f>IF(ISNUMBER(SEARCH("Verify",F31)),"1 High",IF(ISNUMBER(SEARCH("Likely",F31)),"2 Medium","3 Low"))</f>
        <v/>
      </c>
      <c r="H31" s="8" t="n"/>
      <c r="I31" s="8" t="n"/>
      <c r="J31" s="8" t="n"/>
      <c r="K31" s="8" t="n"/>
      <c r="L31" s="8" t="n"/>
      <c r="M31" s="9" t="n"/>
    </row>
    <row r="32">
      <c r="A32" s="3" t="inlineStr">
        <is>
          <t>A-US-9</t>
        </is>
      </c>
      <c r="B32" s="4" t="inlineStr">
        <is>
          <t>Returning to India</t>
        </is>
      </c>
      <c r="C32" s="4" t="inlineStr">
        <is>
          <t>US (CPA)</t>
        </is>
      </c>
      <c r="D32" s="4" t="inlineStr">
        <is>
          <t>US citizen (A3)</t>
        </is>
      </c>
      <c r="E32" s="4" t="inlineStr">
        <is>
          <t>Worldwide scope continues (saving clause). FEIE needs a tax home in India plus bona fide residence or 330 days in 12 months — often not met by the move-year due date (Form 2350 extension). Foreign tax credit usually beats FEIE at Indian rates.</t>
        </is>
      </c>
      <c r="F32" s="4" t="inlineStr">
        <is>
          <t>Certain</t>
        </is>
      </c>
      <c r="G32" s="4">
        <f>IF(ISNUMBER(SEARCH("Verify",F32)),"1 High",IF(ISNUMBER(SEARCH("Likely",F32)),"2 Medium","3 Low"))</f>
        <v/>
      </c>
      <c r="H32" s="8" t="n"/>
      <c r="I32" s="8" t="n"/>
      <c r="J32" s="8" t="n"/>
      <c r="K32" s="8" t="n"/>
      <c r="L32" s="8" t="n"/>
      <c r="M32" s="9" t="n"/>
    </row>
    <row r="33">
      <c r="A33" s="3" t="inlineStr">
        <is>
          <t>A-US-10</t>
        </is>
      </c>
      <c r="B33" s="4" t="inlineStr">
        <is>
          <t>Returning to India</t>
        </is>
      </c>
      <c r="C33" s="4" t="inlineStr">
        <is>
          <t>US (CPA)</t>
        </is>
      </c>
      <c r="D33" s="4" t="inlineStr">
        <is>
          <t>401(k) / IRA after departure</t>
        </is>
      </c>
      <c r="E33" s="4" t="inlineStr">
        <is>
          <t>For a full-year Form 1040-NR filer resident in India: periodic payments exempt (Art. 20(1)); lump sums taxed as FDAP at 30% plus §72(t); a broken SEPP treated as a lump sum. Proposed for the move year: withdrawals paid before the residency end date fall in the resident period (Form 1040, §72(t)); those paid after follow the 1040-NR treaty rule.</t>
        </is>
      </c>
      <c r="F33" s="4" t="inlineStr">
        <is>
          <t>Built (CPA-reviewed)</t>
        </is>
      </c>
      <c r="G33" s="4">
        <f>IF(ISNUMBER(SEARCH("Verify",F33)),"1 High",IF(ISNUMBER(SEARCH("Likely",F33)),"2 Medium","3 Low"))</f>
        <v/>
      </c>
      <c r="H33" s="8" t="n"/>
      <c r="I33" s="8" t="n"/>
      <c r="J33" s="8" t="n"/>
      <c r="K33" s="8" t="n"/>
      <c r="L33" s="8" t="n"/>
      <c r="M33" s="9" t="n"/>
    </row>
    <row r="34">
      <c r="A34" s="3" t="inlineStr">
        <is>
          <t>A-US-11</t>
        </is>
      </c>
      <c r="B34" s="4" t="inlineStr">
        <is>
          <t>Returning to India</t>
        </is>
      </c>
      <c r="C34" s="4" t="inlineStr">
        <is>
          <t>US (CPA)</t>
        </is>
      </c>
      <c r="D34" s="4" t="inlineStr">
        <is>
          <t>HSA / 529</t>
        </is>
      </c>
      <c r="E34" s="4" t="inlineStr">
        <is>
          <t>India gives neither any tax status. US penalties on non-qualified withdrawals continue.</t>
        </is>
      </c>
      <c r="F34" s="4" t="inlineStr">
        <is>
          <t>Likely / Verify</t>
        </is>
      </c>
      <c r="G34" s="4">
        <f>IF(ISNUMBER(SEARCH("Verify",F34)),"1 High",IF(ISNUMBER(SEARCH("Likely",F34)),"2 Medium","3 Low"))</f>
        <v/>
      </c>
      <c r="H34" s="8" t="n"/>
      <c r="I34" s="8" t="n"/>
      <c r="J34" s="8" t="n"/>
      <c r="K34" s="8" t="n"/>
      <c r="L34" s="8" t="n"/>
      <c r="M34" s="9" t="n"/>
    </row>
    <row r="35">
      <c r="A35" s="3" t="inlineStr">
        <is>
          <t>A-US-12</t>
        </is>
      </c>
      <c r="B35" s="4" t="inlineStr">
        <is>
          <t>Returning to India</t>
        </is>
      </c>
      <c r="C35" s="4" t="inlineStr">
        <is>
          <t>US (CPA)</t>
        </is>
      </c>
      <c r="D35" s="4" t="inlineStr">
        <is>
          <t>US estate tax</t>
        </is>
      </c>
      <c r="E35" s="4" t="inlineStr">
        <is>
          <t>A nonresident non-citizen holding US-situs assets (US shares, US real estate) above $60,000 is exposed to US estate tax. There is no India–US estate treaty.</t>
        </is>
      </c>
      <c r="F35" s="4" t="inlineStr">
        <is>
          <t>Certain</t>
        </is>
      </c>
      <c r="G35" s="4">
        <f>IF(ISNUMBER(SEARCH("Verify",F35)),"1 High",IF(ISNUMBER(SEARCH("Likely",F35)),"2 Medium","3 Low"))</f>
        <v/>
      </c>
      <c r="H35" s="8" t="n"/>
      <c r="I35" s="8" t="n"/>
      <c r="J35" s="8" t="n"/>
      <c r="K35" s="8" t="n"/>
      <c r="L35" s="8" t="n"/>
      <c r="M35" s="9" t="n"/>
    </row>
    <row r="36">
      <c r="A36" s="3" t="inlineStr">
        <is>
          <t>A-US-13</t>
        </is>
      </c>
      <c r="B36" s="4" t="inlineStr">
        <is>
          <t>Returning to India</t>
        </is>
      </c>
      <c r="C36" s="4" t="inlineStr">
        <is>
          <t>US (CPA)</t>
        </is>
      </c>
      <c r="D36" s="4" t="inlineStr">
        <is>
          <t>FBAR / 8938 / PFIC after departure</t>
        </is>
      </c>
      <c r="E36" s="4" t="inlineStr">
        <is>
          <t>Not required once a nonresident alien (citizens and green-card holders continue). The departure year covers the resident period.</t>
        </is>
      </c>
      <c r="F36" s="4" t="inlineStr">
        <is>
          <t>Likely (Verify the FBAR rule for a part-year)</t>
        </is>
      </c>
      <c r="G36" s="4">
        <f>IF(ISNUMBER(SEARCH("Verify",F36)),"1 High",IF(ISNUMBER(SEARCH("Likely",F36)),"2 Medium","3 Low"))</f>
        <v/>
      </c>
      <c r="H36" s="8" t="n"/>
      <c r="I36" s="8" t="n"/>
      <c r="J36" s="8" t="n"/>
      <c r="K36" s="8" t="n"/>
      <c r="L36" s="8" t="n"/>
      <c r="M36" s="9" t="n"/>
    </row>
    <row r="37">
      <c r="A37" s="3" t="inlineStr">
        <is>
          <t>A-US-14</t>
        </is>
      </c>
      <c r="B37" s="4" t="inlineStr">
        <is>
          <t>Returning to India</t>
        </is>
      </c>
      <c r="C37" s="4" t="inlineStr">
        <is>
          <t>US (CPA)</t>
        </is>
      </c>
      <c r="D37" s="4" t="inlineStr">
        <is>
          <t>Remote work for a US employer from India</t>
        </is>
      </c>
      <c r="E37" s="4" t="inlineStr">
        <is>
          <t>Pay for work done in India by a nonresident is foreign-source: no US income tax and no FICA. India taxes it. Employer withholding and permanent-establishment risk.</t>
        </is>
      </c>
      <c r="F37" s="4" t="inlineStr">
        <is>
          <t>Likely</t>
        </is>
      </c>
      <c r="G37" s="4">
        <f>IF(ISNUMBER(SEARCH("Verify",F37)),"1 High",IF(ISNUMBER(SEARCH("Likely",F37)),"2 Medium","3 Low"))</f>
        <v/>
      </c>
      <c r="H37" s="8" t="n"/>
      <c r="I37" s="8" t="n"/>
      <c r="J37" s="8" t="n"/>
      <c r="K37" s="8" t="n"/>
      <c r="L37" s="8" t="n"/>
      <c r="M37" s="9" t="n"/>
    </row>
    <row r="38">
      <c r="A38" s="3" t="inlineStr">
        <is>
          <t>A-US-15</t>
        </is>
      </c>
      <c r="B38" s="4" t="inlineStr">
        <is>
          <t>Returning to India</t>
        </is>
      </c>
      <c r="C38" s="4" t="inlineStr">
        <is>
          <t>US (CPA)</t>
        </is>
      </c>
      <c r="D38" s="4" t="inlineStr">
        <is>
          <t>State exit</t>
        </is>
      </c>
      <c r="E38" s="4" t="inlineStr">
        <is>
          <t>CA and others: domicile rules; the state's share of RSUs still taxable after leaving.</t>
        </is>
      </c>
      <c r="F38" s="4" t="inlineStr">
        <is>
          <t>Likely</t>
        </is>
      </c>
      <c r="G38" s="4">
        <f>IF(ISNUMBER(SEARCH("Verify",F38)),"1 High",IF(ISNUMBER(SEARCH("Likely",F38)),"2 Medium","3 Low"))</f>
        <v/>
      </c>
      <c r="H38" s="8" t="n"/>
      <c r="I38" s="8" t="n"/>
      <c r="J38" s="8" t="n"/>
      <c r="K38" s="8" t="n"/>
      <c r="L38" s="8" t="n"/>
      <c r="M38" s="9" t="n"/>
    </row>
    <row r="39">
      <c r="A39" s="3" t="inlineStr">
        <is>
          <t>A-IN-1</t>
        </is>
      </c>
      <c r="B39" s="4" t="inlineStr">
        <is>
          <t>Returning to India</t>
        </is>
      </c>
      <c r="C39" s="4" t="inlineStr">
        <is>
          <t>India (CA)</t>
        </is>
      </c>
      <c r="D39" s="4" t="inlineStr">
        <is>
          <t>Move-FY status</t>
        </is>
      </c>
      <c r="E39" s="4" t="inlineStr">
        <is>
          <t>Status for the whole FY. A returnee is usually RNOR via the 9-of-10 or 729-day tests. A4-type returnees (short stint abroad) are ROR at once.</t>
        </is>
      </c>
      <c r="F39" s="4" t="inlineStr">
        <is>
          <t>Certain</t>
        </is>
      </c>
      <c r="G39" s="4">
        <f>IF(ISNUMBER(SEARCH("Verify",F39)),"1 High",IF(ISNUMBER(SEARCH("Likely",F39)),"2 Medium","3 Low"))</f>
        <v/>
      </c>
      <c r="H39" s="8" t="n"/>
      <c r="I39" s="8" t="n"/>
      <c r="J39" s="8" t="n"/>
      <c r="K39" s="8" t="n"/>
      <c r="L39" s="8" t="n"/>
      <c r="M39" s="9" t="n"/>
    </row>
    <row r="40">
      <c r="A40" s="3" t="inlineStr">
        <is>
          <t>A-IN-2</t>
        </is>
      </c>
      <c r="B40" s="4" t="inlineStr">
        <is>
          <t>Returning to India</t>
        </is>
      </c>
      <c r="C40" s="4" t="inlineStr">
        <is>
          <t>India (CA)</t>
        </is>
      </c>
      <c r="D40" s="4" t="inlineStr">
        <is>
          <t>How long RNOR lasts</t>
        </is>
      </c>
      <c r="E40" s="4" t="inlineStr">
        <is>
          <t>RNOR lasts while either lookback test holds; typically 2–3 FYs after return.</t>
        </is>
      </c>
      <c r="F40" s="4" t="inlineStr">
        <is>
          <t>Certain (rule)</t>
        </is>
      </c>
      <c r="G40" s="4">
        <f>IF(ISNUMBER(SEARCH("Verify",F40)),"1 High",IF(ISNUMBER(SEARCH("Likely",F40)),"2 Medium","3 Low"))</f>
        <v/>
      </c>
      <c r="H40" s="8" t="n"/>
      <c r="I40" s="8" t="n"/>
      <c r="J40" s="8" t="n"/>
      <c r="K40" s="8" t="n"/>
      <c r="L40" s="8" t="n"/>
      <c r="M40" s="9" t="n"/>
    </row>
    <row r="41">
      <c r="A41" s="3" t="inlineStr">
        <is>
          <t>A-IN-3</t>
        </is>
      </c>
      <c r="B41" s="4" t="inlineStr">
        <is>
          <t>Returning to India</t>
        </is>
      </c>
      <c r="C41" s="4" t="inlineStr">
        <is>
          <t>India (CA)</t>
        </is>
      </c>
      <c r="D41" s="4" t="inlineStr">
        <is>
          <t>RNOR scope</t>
        </is>
      </c>
      <c r="E41" s="4" t="inlineStr">
        <is>
          <t>Taxed on income received or accruing in India; foreign income only if from a business controlled in, or a profession set up in, India.</t>
        </is>
      </c>
      <c r="F41" s="4" t="inlineStr">
        <is>
          <t>Certain</t>
        </is>
      </c>
      <c r="G41" s="4">
        <f>IF(ISNUMBER(SEARCH("Verify",F41)),"1 High",IF(ISNUMBER(SEARCH("Likely",F41)),"2 Medium","3 Low"))</f>
        <v/>
      </c>
      <c r="H41" s="8" t="n"/>
      <c r="I41" s="8" t="n"/>
      <c r="J41" s="8" t="n"/>
      <c r="K41" s="8" t="n"/>
      <c r="L41" s="8" t="n"/>
      <c r="M41" s="9" t="n"/>
    </row>
    <row r="42">
      <c r="A42" s="3" t="inlineStr">
        <is>
          <t>A-IN-4</t>
        </is>
      </c>
      <c r="B42" s="4" t="inlineStr">
        <is>
          <t>Returning to India</t>
        </is>
      </c>
      <c r="C42" s="4" t="inlineStr">
        <is>
          <t>India (CA)</t>
        </is>
      </c>
      <c r="D42" s="4" t="inlineStr">
        <is>
          <t>NRE / FCNR / RFC on return</t>
        </is>
      </c>
      <c r="E42" s="4" t="inlineStr">
        <is>
          <t>Under FEMA the person becomes resident on return. NRE accounts must be redesignated (to resident or RFC). NRE interest exemption (s.10(4)(ii)) ends with FEMA non-residence. FCNR (and RFC for RNOR) interest stays exempt while NR/RNOR (s.10(15)(iv)(fa)). The US always taxes NRE interest for a US person.</t>
        </is>
      </c>
      <c r="F42" s="4" t="inlineStr">
        <is>
          <t>Likely / Verify</t>
        </is>
      </c>
      <c r="G42" s="4">
        <f>IF(ISNUMBER(SEARCH("Verify",F42)),"1 High",IF(ISNUMBER(SEARCH("Likely",F42)),"2 Medium","3 Low"))</f>
        <v/>
      </c>
      <c r="H42" s="8" t="n"/>
      <c r="I42" s="8" t="n"/>
      <c r="J42" s="8" t="n"/>
      <c r="K42" s="8" t="n"/>
      <c r="L42" s="8" t="n"/>
      <c r="M42" s="9" t="n"/>
    </row>
    <row r="43">
      <c r="A43" s="3" t="inlineStr">
        <is>
          <t>A-IN-5</t>
        </is>
      </c>
      <c r="B43" s="4" t="inlineStr">
        <is>
          <t>Returning to India</t>
        </is>
      </c>
      <c r="C43" s="4" t="inlineStr">
        <is>
          <t>India (CA)</t>
        </is>
      </c>
      <c r="D43" s="4" t="inlineStr">
        <is>
          <t>401(k) / IRA once ROR</t>
        </is>
      </c>
      <c r="E43" s="4" t="inlineStr">
        <is>
          <t>India may tax yearly growth; s.89A → s.158 / Form 40 lets a "specified person" defer to withdrawal for a "specified account" in a notified country (US notified). Form 40 is due by the return due date.</t>
        </is>
      </c>
      <c r="F43" s="4" t="inlineStr">
        <is>
          <t>Likely / Verify</t>
        </is>
      </c>
      <c r="G43" s="4">
        <f>IF(ISNUMBER(SEARCH("Verify",F43)),"1 High",IF(ISNUMBER(SEARCH("Likely",F43)),"2 Medium","3 Low"))</f>
        <v/>
      </c>
      <c r="H43" s="8" t="n"/>
      <c r="I43" s="8" t="n"/>
      <c r="J43" s="8" t="n"/>
      <c r="K43" s="8" t="n"/>
      <c r="L43" s="8" t="n"/>
      <c r="M43" s="9" t="n"/>
    </row>
    <row r="44">
      <c r="A44" s="3" t="inlineStr">
        <is>
          <t>A-IN-6</t>
        </is>
      </c>
      <c r="B44" s="4" t="inlineStr">
        <is>
          <t>Returning to India</t>
        </is>
      </c>
      <c r="C44" s="4" t="inlineStr">
        <is>
          <t>India (CA)</t>
        </is>
      </c>
      <c r="D44" s="4" t="inlineStr">
        <is>
          <t>Roth once ROR</t>
        </is>
      </c>
      <c r="E44" s="4" t="inlineStr">
        <is>
          <t>India does not recognise the Roth's tax-free status, and the s.158 deferral fits poorly (no US tax at withdrawal to align with).</t>
        </is>
      </c>
      <c r="F44" s="4" t="inlineStr">
        <is>
          <t>Likely</t>
        </is>
      </c>
      <c r="G44" s="4">
        <f>IF(ISNUMBER(SEARCH("Verify",F44)),"1 High",IF(ISNUMBER(SEARCH("Likely",F44)),"2 Medium","3 Low"))</f>
        <v/>
      </c>
      <c r="H44" s="8" t="n"/>
      <c r="I44" s="8" t="n"/>
      <c r="J44" s="8" t="n"/>
      <c r="K44" s="8" t="n"/>
      <c r="L44" s="8" t="n"/>
      <c r="M44" s="9" t="n"/>
    </row>
    <row r="45">
      <c r="A45" s="3" t="inlineStr">
        <is>
          <t>A-IN-7</t>
        </is>
      </c>
      <c r="B45" s="4" t="inlineStr">
        <is>
          <t>Returning to India</t>
        </is>
      </c>
      <c r="C45" s="4" t="inlineStr">
        <is>
          <t>India (CA)</t>
        </is>
      </c>
      <c r="D45" s="4" t="inlineStr">
        <is>
          <t>Schedule FA</t>
        </is>
      </c>
      <c r="E45" s="4" t="inlineStr">
        <is>
          <t>Required from the first ROR year (not RNOR). Reports a calendar year: US accounts, brokerage, 401(k)/IRA, RSUs, property. Black Money Act penalty risk.</t>
        </is>
      </c>
      <c r="F45" s="4" t="inlineStr">
        <is>
          <t>Certain</t>
        </is>
      </c>
      <c r="G45" s="4">
        <f>IF(ISNUMBER(SEARCH("Verify",F45)),"1 High",IF(ISNUMBER(SEARCH("Likely",F45)),"2 Medium","3 Low"))</f>
        <v/>
      </c>
      <c r="H45" s="8" t="n"/>
      <c r="I45" s="8" t="n"/>
      <c r="J45" s="8" t="n"/>
      <c r="K45" s="8" t="n"/>
      <c r="L45" s="8" t="n"/>
      <c r="M45" s="9" t="n"/>
    </row>
    <row r="46">
      <c r="A46" s="3" t="inlineStr">
        <is>
          <t>A-IN-8</t>
        </is>
      </c>
      <c r="B46" s="4" t="inlineStr">
        <is>
          <t>Returning to India</t>
        </is>
      </c>
      <c r="C46" s="4" t="inlineStr">
        <is>
          <t>India (CA)</t>
        </is>
      </c>
      <c r="D46" s="4" t="inlineStr">
        <is>
          <t>US income once ROR</t>
        </is>
      </c>
      <c r="E46" s="4" t="inlineStr">
        <is>
          <t>Worldwide. Credit for US tax under s.90 / s.159 (Form 44, Rule 76). Calendar-year vs FY timing.</t>
        </is>
      </c>
      <c r="F46" s="4" t="inlineStr">
        <is>
          <t>Certain</t>
        </is>
      </c>
      <c r="G46" s="4">
        <f>IF(ISNUMBER(SEARCH("Verify",F46)),"1 High",IF(ISNUMBER(SEARCH("Likely",F46)),"2 Medium","3 Low"))</f>
        <v/>
      </c>
      <c r="H46" s="8" t="n"/>
      <c r="I46" s="8" t="n"/>
      <c r="J46" s="8" t="n"/>
      <c r="K46" s="8" t="n"/>
      <c r="L46" s="8" t="n"/>
      <c r="M46" s="9" t="n"/>
    </row>
    <row r="47">
      <c r="A47" s="3" t="inlineStr">
        <is>
          <t>A-IN-9</t>
        </is>
      </c>
      <c r="B47" s="4" t="inlineStr">
        <is>
          <t>Returning to India</t>
        </is>
      </c>
      <c r="C47" s="4" t="inlineStr">
        <is>
          <t>India (CA)</t>
        </is>
      </c>
      <c r="D47" s="4" t="inlineStr">
        <is>
          <t>RSUs and US shares in India</t>
        </is>
      </c>
      <c r="E47" s="4" t="inlineStr">
        <is>
          <t>Perquisite on vest (RNOR: the share for work outside India is not taxed). Later sale: foreign unlisted shares → long-term after 24 months (12.5%); short-term at slab rates. Cost = value taxed at vest. Convert at the SBI TT buying rate.</t>
        </is>
      </c>
      <c r="F47" s="4" t="inlineStr">
        <is>
          <t>Likely</t>
        </is>
      </c>
      <c r="G47" s="4">
        <f>IF(ISNUMBER(SEARCH("Verify",F47)),"1 High",IF(ISNUMBER(SEARCH("Likely",F47)),"2 Medium","3 Low"))</f>
        <v/>
      </c>
      <c r="H47" s="8" t="n"/>
      <c r="I47" s="8" t="n"/>
      <c r="J47" s="8" t="n"/>
      <c r="K47" s="8" t="n"/>
      <c r="L47" s="8" t="n"/>
      <c r="M47" s="9" t="n"/>
    </row>
    <row r="48">
      <c r="A48" s="3" t="inlineStr">
        <is>
          <t>A-IN-10</t>
        </is>
      </c>
      <c r="B48" s="4" t="inlineStr">
        <is>
          <t>Returning to India</t>
        </is>
      </c>
      <c r="C48" s="4" t="inlineStr">
        <is>
          <t>India (CA)</t>
        </is>
      </c>
      <c r="D48" s="4" t="inlineStr">
        <is>
          <t>RNOR window opportunity</t>
        </is>
      </c>
      <c r="E48" s="4" t="inlineStr">
        <is>
          <t>US stock gains realised while US nonresident (no US tax, §871(a)(2)) and India RNOR (accrues outside India) can be taxed by neither country.</t>
        </is>
      </c>
      <c r="F48" s="4" t="inlineStr">
        <is>
          <t>Likely</t>
        </is>
      </c>
      <c r="G48" s="4">
        <f>IF(ISNUMBER(SEARCH("Verify",F48)),"1 High",IF(ISNUMBER(SEARCH("Likely",F48)),"2 Medium","3 Low"))</f>
        <v/>
      </c>
      <c r="H48" s="8" t="n"/>
      <c r="I48" s="8" t="n"/>
      <c r="J48" s="8" t="n"/>
      <c r="K48" s="8" t="n"/>
      <c r="L48" s="8" t="n"/>
      <c r="M48" s="9" t="n"/>
    </row>
    <row r="49">
      <c r="A49" s="3" t="inlineStr">
        <is>
          <t>A-IN-11</t>
        </is>
      </c>
      <c r="B49" s="4" t="inlineStr">
        <is>
          <t>Returning to India</t>
        </is>
      </c>
      <c r="C49" s="4" t="inlineStr">
        <is>
          <t>India (CA)</t>
        </is>
      </c>
      <c r="D49" s="4" t="inlineStr">
        <is>
          <t>s.115H continuation</t>
        </is>
      </c>
      <c r="E49" s="4" t="inlineStr">
        <is>
          <t>A returning NRI may elect to keep the non-resident rate on investment income from specified foreign-exchange assets (not shares in an Indian company) until they are sold. Made by declaration in the return.</t>
        </is>
      </c>
      <c r="F49" s="4" t="inlineStr">
        <is>
          <t>Likely / Verify (ITA 2025 survival)</t>
        </is>
      </c>
      <c r="G49" s="4">
        <f>IF(ISNUMBER(SEARCH("Verify",F49)),"1 High",IF(ISNUMBER(SEARCH("Likely",F49)),"2 Medium","3 Low"))</f>
        <v/>
      </c>
      <c r="H49" s="8" t="n"/>
      <c r="I49" s="8" t="n"/>
      <c r="J49" s="8" t="n"/>
      <c r="K49" s="8" t="n"/>
      <c r="L49" s="8" t="n"/>
      <c r="M49" s="9" t="n"/>
    </row>
    <row r="50">
      <c r="A50" s="3" t="inlineStr">
        <is>
          <t>A-IN-12</t>
        </is>
      </c>
      <c r="B50" s="4" t="inlineStr">
        <is>
          <t>Returning to India</t>
        </is>
      </c>
      <c r="C50" s="4" t="inlineStr">
        <is>
          <t>India (CA)</t>
        </is>
      </c>
      <c r="D50" s="4" t="inlineStr">
        <is>
          <t>US Social Security / pensions in India</t>
        </is>
      </c>
      <c r="E50" s="4" t="inlineStr">
        <is>
          <t>Taxation depends on the treaty article (Art. 19 / 20). Verify which applies to US Social Security.</t>
        </is>
      </c>
      <c r="F50" s="4" t="inlineStr">
        <is>
          <t>Verify</t>
        </is>
      </c>
      <c r="G50" s="4">
        <f>IF(ISNUMBER(SEARCH("Verify",F50)),"1 High",IF(ISNUMBER(SEARCH("Likely",F50)),"2 Medium","3 Low"))</f>
        <v/>
      </c>
      <c r="H50" s="8" t="n"/>
      <c r="I50" s="8" t="n"/>
      <c r="J50" s="8" t="n"/>
      <c r="K50" s="8" t="n"/>
      <c r="L50" s="8" t="n"/>
      <c r="M50" s="9" t="n"/>
    </row>
    <row r="51">
      <c r="A51" s="3" t="inlineStr">
        <is>
          <t>A-IN-13</t>
        </is>
      </c>
      <c r="B51" s="4" t="inlineStr">
        <is>
          <t>Returning to India</t>
        </is>
      </c>
      <c r="C51" s="4" t="inlineStr">
        <is>
          <t>India (CA)</t>
        </is>
      </c>
      <c r="D51" s="4" t="inlineStr">
        <is>
          <t>Advance tax in the first year with US income</t>
        </is>
      </c>
      <c r="E51" s="4" t="inlineStr">
        <is>
          <t>Interest under s.234B/C for a returnee's first ROR year.</t>
        </is>
      </c>
      <c r="F51" s="4" t="inlineStr">
        <is>
          <t>Certain</t>
        </is>
      </c>
      <c r="G51" s="4">
        <f>IF(ISNUMBER(SEARCH("Verify",F51)),"1 High",IF(ISNUMBER(SEARCH("Likely",F51)),"2 Medium","3 Low"))</f>
        <v/>
      </c>
      <c r="H51" s="8" t="n"/>
      <c r="I51" s="8" t="n"/>
      <c r="J51" s="8" t="n"/>
      <c r="K51" s="8" t="n"/>
      <c r="L51" s="8" t="n"/>
      <c r="M51" s="9" t="n"/>
    </row>
    <row r="52">
      <c r="A52" s="3" t="inlineStr">
        <is>
          <t>A-DT-1</t>
        </is>
      </c>
      <c r="B52" s="4" t="inlineStr">
        <is>
          <t>Returning to India</t>
        </is>
      </c>
      <c r="C52" s="4" t="inlineStr">
        <is>
          <t>Treaty (CA + CPA)</t>
        </is>
      </c>
      <c r="D52" s="4" t="inlineStr">
        <is>
          <t>Apr–Aug overlap, RNOR</t>
        </is>
      </c>
      <c r="E52" s="4" t="inlineStr">
        <is>
          <t>No real conflict: RNOR India doesn't tax US-earned pay. (DTAA Art. 4, 16)</t>
        </is>
      </c>
      <c r="F52" s="4" t="inlineStr">
        <is>
          <t>Likely</t>
        </is>
      </c>
      <c r="G52" s="4">
        <f>IF(ISNUMBER(SEARCH("Verify",F52)),"1 High",IF(ISNUMBER(SEARCH("Likely",F52)),"2 Medium","3 Low"))</f>
        <v/>
      </c>
      <c r="H52" s="8" t="n"/>
      <c r="I52" s="8" t="n"/>
      <c r="J52" s="8" t="n"/>
      <c r="K52" s="8" t="n"/>
      <c r="L52" s="8" t="n"/>
      <c r="M52" s="9" t="n"/>
    </row>
    <row r="53">
      <c r="A53" s="3" t="inlineStr">
        <is>
          <t>A-DT-2</t>
        </is>
      </c>
      <c r="B53" s="4" t="inlineStr">
        <is>
          <t>Returning to India</t>
        </is>
      </c>
      <c r="C53" s="4" t="inlineStr">
        <is>
          <t>Treaty (CA + CPA)</t>
        </is>
      </c>
      <c r="D53" s="4" t="inlineStr">
        <is>
          <t>Apr–Aug overlap, ROR (A4)</t>
        </is>
      </c>
      <c r="E53" s="4" t="inlineStr">
        <is>
          <t>The US wins the tie-breaker for the overlap window (permanent home), or India credits US tax on US-earned pay. Both routes should be shown. (DTAA Art. 4, 16, 25)</t>
        </is>
      </c>
      <c r="F53" s="4" t="inlineStr">
        <is>
          <t>Likely</t>
        </is>
      </c>
      <c r="G53" s="4">
        <f>IF(ISNUMBER(SEARCH("Verify",F53)),"1 High",IF(ISNUMBER(SEARCH("Likely",F53)),"2 Medium","3 Low"))</f>
        <v/>
      </c>
      <c r="H53" s="8" t="n"/>
      <c r="I53" s="8" t="n"/>
      <c r="J53" s="8" t="n"/>
      <c r="K53" s="8" t="n"/>
      <c r="L53" s="8" t="n"/>
      <c r="M53" s="9" t="n"/>
    </row>
    <row r="54">
      <c r="A54" s="3" t="inlineStr">
        <is>
          <t>A-DT-3</t>
        </is>
      </c>
      <c r="B54" s="4" t="inlineStr">
        <is>
          <t>Returning to India</t>
        </is>
      </c>
      <c r="C54" s="4" t="inlineStr">
        <is>
          <t>Treaty (CA + CPA)</t>
        </is>
      </c>
      <c r="D54" s="4" t="inlineStr">
        <is>
          <t>RSU vest after return</t>
        </is>
      </c>
      <c r="E54" s="4" t="inlineStr">
        <is>
          <t>US taxes the US-workday share. India taxes the whole vest (ROR) or the India-workday share (RNOR); credit for US tax. (DTAA Art. 15/16, 25)</t>
        </is>
      </c>
      <c r="F54" s="4" t="inlineStr">
        <is>
          <t>Likely</t>
        </is>
      </c>
      <c r="G54" s="4">
        <f>IF(ISNUMBER(SEARCH("Verify",F54)),"1 High",IF(ISNUMBER(SEARCH("Likely",F54)),"2 Medium","3 Low"))</f>
        <v/>
      </c>
      <c r="H54" s="8" t="n"/>
      <c r="I54" s="8" t="n"/>
      <c r="J54" s="8" t="n"/>
      <c r="K54" s="8" t="n"/>
      <c r="L54" s="8" t="n"/>
      <c r="M54" s="9" t="n"/>
    </row>
    <row r="55">
      <c r="A55" s="3" t="inlineStr">
        <is>
          <t>A-DT-4</t>
        </is>
      </c>
      <c r="B55" s="4" t="inlineStr">
        <is>
          <t>Returning to India</t>
        </is>
      </c>
      <c r="C55" s="4" t="inlineStr">
        <is>
          <t>Treaty (CA + CPA)</t>
        </is>
      </c>
      <c r="D55" s="4" t="inlineStr">
        <is>
          <t>US rental</t>
        </is>
      </c>
      <c r="E55" s="4" t="inlineStr">
        <is>
          <t>The US taxes (net basis if elected). India credits once ROR. (DTAA Art. 6, 25)</t>
        </is>
      </c>
      <c r="F55" s="4" t="inlineStr">
        <is>
          <t>Likely</t>
        </is>
      </c>
      <c r="G55" s="4">
        <f>IF(ISNUMBER(SEARCH("Verify",F55)),"1 High",IF(ISNUMBER(SEARCH("Likely",F55)),"2 Medium","3 Low"))</f>
        <v/>
      </c>
      <c r="H55" s="8" t="n"/>
      <c r="I55" s="8" t="n"/>
      <c r="J55" s="8" t="n"/>
      <c r="K55" s="8" t="n"/>
      <c r="L55" s="8" t="n"/>
      <c r="M55" s="9" t="n"/>
    </row>
    <row r="56">
      <c r="A56" s="3" t="inlineStr">
        <is>
          <t>A-DT-5</t>
        </is>
      </c>
      <c r="B56" s="4" t="inlineStr">
        <is>
          <t>Returning to India</t>
        </is>
      </c>
      <c r="C56" s="4" t="inlineStr">
        <is>
          <t>Treaty (CA + CPA)</t>
        </is>
      </c>
      <c r="D56" s="4" t="inlineStr">
        <is>
          <t>US dividends</t>
        </is>
      </c>
      <c r="E56" s="4" t="inlineStr">
        <is>
          <t>25% / 15% US withholding. India credits (ROR). (DTAA Art. 10, 25)</t>
        </is>
      </c>
      <c r="F56" s="4" t="inlineStr">
        <is>
          <t>Likely</t>
        </is>
      </c>
      <c r="G56" s="4">
        <f>IF(ISNUMBER(SEARCH("Verify",F56)),"1 High",IF(ISNUMBER(SEARCH("Likely",F56)),"2 Medium","3 Low"))</f>
        <v/>
      </c>
      <c r="H56" s="8" t="n"/>
      <c r="I56" s="8" t="n"/>
      <c r="J56" s="8" t="n"/>
      <c r="K56" s="8" t="n"/>
      <c r="L56" s="8" t="n"/>
      <c r="M56" s="9" t="n"/>
    </row>
    <row r="57">
      <c r="A57" s="3" t="inlineStr">
        <is>
          <t>A-DT-6</t>
        </is>
      </c>
      <c r="B57" s="4" t="inlineStr">
        <is>
          <t>Returning to India</t>
        </is>
      </c>
      <c r="C57" s="4" t="inlineStr">
        <is>
          <t>Treaty (CA + CPA)</t>
        </is>
      </c>
      <c r="D57" s="4" t="inlineStr">
        <is>
          <t>401(k) withdrawals</t>
        </is>
      </c>
      <c r="E57" s="4" t="inlineStr">
        <is>
          <t>Periodic payments → India only (verify). Lump sum → both may tax, so credit. (DTAA Art. 20 / 23)</t>
        </is>
      </c>
      <c r="F57" s="4" t="inlineStr">
        <is>
          <t>Likely</t>
        </is>
      </c>
      <c r="G57" s="4">
        <f>IF(ISNUMBER(SEARCH("Verify",F57)),"1 High",IF(ISNUMBER(SEARCH("Likely",F57)),"2 Medium","3 Low"))</f>
        <v/>
      </c>
      <c r="H57" s="8" t="n"/>
      <c r="I57" s="8" t="n"/>
      <c r="J57" s="8" t="n"/>
      <c r="K57" s="8" t="n"/>
      <c r="L57" s="8" t="n"/>
      <c r="M57" s="9" t="n"/>
    </row>
    <row r="58">
      <c r="A58" s="3" t="inlineStr">
        <is>
          <t>B-US-1</t>
        </is>
      </c>
      <c r="B58" s="4" t="inlineStr">
        <is>
          <t>Moving to the US</t>
        </is>
      </c>
      <c r="C58" s="4" t="inlineStr">
        <is>
          <t>US (CPA)</t>
        </is>
      </c>
      <c r="D58" s="4" t="inlineStr">
        <is>
          <t>Residency start date</t>
        </is>
      </c>
      <c r="E58" s="4" t="inlineStr">
        <is>
          <t>SPT → first day present (≤10 days excluded); green card → first day as a permanent resident; first-year choice → first day of the 31-day run.</t>
        </is>
      </c>
      <c r="F58" s="4" t="inlineStr">
        <is>
          <t>Certain</t>
        </is>
      </c>
      <c r="G58" s="4">
        <f>IF(ISNUMBER(SEARCH("Verify",F58)),"1 High",IF(ISNUMBER(SEARCH("Likely",F58)),"2 Medium","3 Low"))</f>
        <v/>
      </c>
      <c r="H58" s="8" t="n"/>
      <c r="I58" s="8" t="n"/>
      <c r="J58" s="8" t="n"/>
      <c r="K58" s="8" t="n"/>
      <c r="L58" s="8" t="n"/>
      <c r="M58" s="9" t="n"/>
    </row>
    <row r="59">
      <c r="A59" s="3" t="inlineStr">
        <is>
          <t>B-US-2</t>
        </is>
      </c>
      <c r="B59" s="4" t="inlineStr">
        <is>
          <t>Moving to the US</t>
        </is>
      </c>
      <c r="C59" s="4" t="inlineStr">
        <is>
          <t>US (CPA)</t>
        </is>
      </c>
      <c r="D59" s="4" t="inlineStr">
        <is>
          <t>Election comparator</t>
        </is>
      </c>
      <c r="E59" s="4" t="inlineStr">
        <is>
          <t>Options: (a) full-year nonresident (1040-NR); (b) first-year choice (dual-status, file after next year's SPT, Form 4868); (c) first-year choice + §6013(h) → joint, full-year resident, standard deduction, worldwide income incl. pre-arrival Indian salary with a credit for Indian tax; (d) §6013(g) when the spouse is already a resident.</t>
        </is>
      </c>
      <c r="F59" s="4" t="inlineStr">
        <is>
          <t>Certain (rules)</t>
        </is>
      </c>
      <c r="G59" s="4">
        <f>IF(ISNUMBER(SEARCH("Verify",F59)),"1 High",IF(ISNUMBER(SEARCH("Likely",F59)),"2 Medium","3 Low"))</f>
        <v/>
      </c>
      <c r="H59" s="8" t="n"/>
      <c r="I59" s="8" t="n"/>
      <c r="J59" s="8" t="n"/>
      <c r="K59" s="8" t="n"/>
      <c r="L59" s="8" t="n"/>
      <c r="M59" s="9" t="n"/>
    </row>
    <row r="60">
      <c r="A60" s="3" t="inlineStr">
        <is>
          <t>B-US-3</t>
        </is>
      </c>
      <c r="B60" s="4" t="inlineStr">
        <is>
          <t>Moving to the US</t>
        </is>
      </c>
      <c r="C60" s="4" t="inlineStr">
        <is>
          <t>US (CPA)</t>
        </is>
      </c>
      <c r="D60" s="4" t="inlineStr">
        <is>
          <t>Income attribution defaults</t>
        </is>
      </c>
      <c r="E60" s="4" t="inlineStr">
        <is>
          <t>Indian salary earned and paid before the start date → nonresident period, foreign-source, not US-taxed. US wages → resident period. Indian bonus, gratuity or leave encashment received after the start date → resident period, US-taxable, with a credit only if India taxed it.</t>
        </is>
      </c>
      <c r="F60" s="4" t="inlineStr">
        <is>
          <t>Certain (pre-arrival salary) / Likely / Verify (post-arrival receipt of pay for Indian work, Reg. 1.871-13)</t>
        </is>
      </c>
      <c r="G60" s="4">
        <f>IF(ISNUMBER(SEARCH("Verify",F60)),"1 High",IF(ISNUMBER(SEARCH("Likely",F60)),"2 Medium","3 Low"))</f>
        <v/>
      </c>
      <c r="H60" s="8" t="n"/>
      <c r="I60" s="8" t="n"/>
      <c r="J60" s="8" t="n"/>
      <c r="K60" s="8" t="n"/>
      <c r="L60" s="8" t="n"/>
      <c r="M60" s="9" t="n"/>
    </row>
    <row r="61">
      <c r="A61" s="3" t="inlineStr">
        <is>
          <t>B-US-4</t>
        </is>
      </c>
      <c r="B61" s="4" t="inlineStr">
        <is>
          <t>Moving to the US</t>
        </is>
      </c>
      <c r="C61" s="4" t="inlineStr">
        <is>
          <t>US (CPA)</t>
        </is>
      </c>
      <c r="D61" s="4" t="inlineStr">
        <is>
          <t>Return form</t>
        </is>
      </c>
      <c r="E61" s="4" t="inlineStr">
        <is>
          <t>Resident at year end → 1040 is the return, 1040-NR is the statement.</t>
        </is>
      </c>
      <c r="F61" s="4" t="inlineStr">
        <is>
          <t>Certain</t>
        </is>
      </c>
      <c r="G61" s="4">
        <f>IF(ISNUMBER(SEARCH("Verify",F61)),"1 High",IF(ISNUMBER(SEARCH("Likely",F61)),"2 Medium","3 Low"))</f>
        <v/>
      </c>
      <c r="H61" s="8" t="n"/>
      <c r="I61" s="8" t="n"/>
      <c r="J61" s="8" t="n"/>
      <c r="K61" s="8" t="n"/>
      <c r="L61" s="8" t="n"/>
      <c r="M61" s="9" t="n"/>
    </row>
    <row r="62">
      <c r="A62" s="3" t="inlineStr">
        <is>
          <t>B-US-5</t>
        </is>
      </c>
      <c r="B62" s="4" t="inlineStr">
        <is>
          <t>Moving to the US</t>
        </is>
      </c>
      <c r="C62" s="4" t="inlineStr">
        <is>
          <t>US (CPA)</t>
        </is>
      </c>
      <c r="D62" s="4" t="inlineStr">
        <is>
          <t>Students, teachers and researchers (B3)</t>
        </is>
      </c>
      <c r="E62" s="4" t="inlineStr">
        <is>
          <t>F/J students exempt from SPT for 5 calendar years (Form 8843); 1040-NR; Art. 21(2) standard deduction; Art. 21(1) payments from India; Art. 22 two-year teacher and researcher exemption; no FICA on F-1/J-1 pay.</t>
        </is>
      </c>
      <c r="F62" s="4" t="inlineStr">
        <is>
          <t>Certain</t>
        </is>
      </c>
      <c r="G62" s="4">
        <f>IF(ISNUMBER(SEARCH("Verify",F62)),"1 High",IF(ISNUMBER(SEARCH("Likely",F62)),"2 Medium","3 Low"))</f>
        <v/>
      </c>
      <c r="H62" s="8" t="n"/>
      <c r="I62" s="8" t="n"/>
      <c r="J62" s="8" t="n"/>
      <c r="K62" s="8" t="n"/>
      <c r="L62" s="8" t="n"/>
      <c r="M62" s="9" t="n"/>
    </row>
    <row r="63">
      <c r="A63" s="3" t="inlineStr">
        <is>
          <t>B-US-6</t>
        </is>
      </c>
      <c r="B63" s="4" t="inlineStr">
        <is>
          <t>Moving to the US</t>
        </is>
      </c>
      <c r="C63" s="4" t="inlineStr">
        <is>
          <t>US (CPA)</t>
        </is>
      </c>
      <c r="D63" s="4" t="inlineStr">
        <is>
          <t>PFIC from day 1</t>
        </is>
      </c>
      <c r="E63" s="4" t="inlineStr">
        <is>
          <t>Indian mutual funds, ETFs and some ULIPs are PFICs. The holding period starts on becoming a US person. Excess-distribution rules unless a mark-to-market election (Form 8621).</t>
        </is>
      </c>
      <c r="F63" s="4" t="inlineStr">
        <is>
          <t>Certain (PFIC) / Likely (holding-period start) / Verify (ULIP)</t>
        </is>
      </c>
      <c r="G63" s="4">
        <f>IF(ISNUMBER(SEARCH("Verify",F63)),"1 High",IF(ISNUMBER(SEARCH("Likely",F63)),"2 Medium","3 Low"))</f>
        <v/>
      </c>
      <c r="H63" s="8" t="n"/>
      <c r="I63" s="8" t="n"/>
      <c r="J63" s="8" t="n"/>
      <c r="K63" s="8" t="n"/>
      <c r="L63" s="8" t="n"/>
      <c r="M63" s="9" t="n"/>
    </row>
    <row r="64">
      <c r="A64" s="3" t="inlineStr">
        <is>
          <t>B-US-7</t>
        </is>
      </c>
      <c r="B64" s="4" t="inlineStr">
        <is>
          <t>Moving to the US</t>
        </is>
      </c>
      <c r="C64" s="4" t="inlineStr">
        <is>
          <t>US (CPA)</t>
        </is>
      </c>
      <c r="D64" s="4" t="inlineStr">
        <is>
          <t>No basis step-up</t>
        </is>
      </c>
      <c r="E64" s="4" t="inlineStr">
        <is>
          <t>The US taxes the full gain since purchase (in USD at historical FX), including gains built up before arrival.</t>
        </is>
      </c>
      <c r="F64" s="4" t="inlineStr">
        <is>
          <t>Certain</t>
        </is>
      </c>
      <c r="G64" s="4">
        <f>IF(ISNUMBER(SEARCH("Verify",F64)),"1 High",IF(ISNUMBER(SEARCH("Likely",F64)),"2 Medium","3 Low"))</f>
        <v/>
      </c>
      <c r="H64" s="8" t="n"/>
      <c r="I64" s="8" t="n"/>
      <c r="J64" s="8" t="n"/>
      <c r="K64" s="8" t="n"/>
      <c r="L64" s="8" t="n"/>
      <c r="M64" s="9" t="n"/>
    </row>
    <row r="65">
      <c r="A65" s="3" t="inlineStr">
        <is>
          <t>B-US-8</t>
        </is>
      </c>
      <c r="B65" s="4" t="inlineStr">
        <is>
          <t>Moving to the US</t>
        </is>
      </c>
      <c r="C65" s="4" t="inlineStr">
        <is>
          <t>US (CPA)</t>
        </is>
      </c>
      <c r="D65" s="4" t="inlineStr">
        <is>
          <t>Reporting from the start date</t>
        </is>
      </c>
      <c r="E65" s="4" t="inlineStr">
        <is>
          <t>FBAR (US person for part of the year — Verify whether the max-value period is the whole year), 8938 (resident period), Form 3520 (gifts &gt; $100k from Indian relatives), 5471 (≥10% officer or shareholder in an Indian company), 8865 (Indian LLP or partnership), 720 (foreign insurance premiums excise tax).</t>
        </is>
      </c>
      <c r="F65" s="4" t="inlineStr">
        <is>
          <t>Likely / Verify</t>
        </is>
      </c>
      <c r="G65" s="4">
        <f>IF(ISNUMBER(SEARCH("Verify",F65)),"1 High",IF(ISNUMBER(SEARCH("Likely",F65)),"2 Medium","3 Low"))</f>
        <v/>
      </c>
      <c r="H65" s="8" t="n"/>
      <c r="I65" s="8" t="n"/>
      <c r="J65" s="8" t="n"/>
      <c r="K65" s="8" t="n"/>
      <c r="L65" s="8" t="n"/>
      <c r="M65" s="9" t="n"/>
    </row>
    <row r="66">
      <c r="A66" s="3" t="inlineStr">
        <is>
          <t>B-US-9</t>
        </is>
      </c>
      <c r="B66" s="4" t="inlineStr">
        <is>
          <t>Moving to the US</t>
        </is>
      </c>
      <c r="C66" s="4" t="inlineStr">
        <is>
          <t>US (CPA)</t>
        </is>
      </c>
      <c r="D66" s="4" t="inlineStr">
        <is>
          <t>Indian rental property</t>
        </is>
      </c>
      <c r="E66" s="4" t="inlineStr">
        <is>
          <t>Schedule E. Depreciation for foreign residential rental (ADS 30 years — Verify). Basis = historical cost in USD, not value at arrival. Credit for Indian tax (Art. 6).</t>
        </is>
      </c>
      <c r="F66" s="4" t="inlineStr">
        <is>
          <t>Likely</t>
        </is>
      </c>
      <c r="G66" s="4">
        <f>IF(ISNUMBER(SEARCH("Verify",F66)),"1 High",IF(ISNUMBER(SEARCH("Likely",F66)),"2 Medium","3 Low"))</f>
        <v/>
      </c>
      <c r="H66" s="8" t="n"/>
      <c r="I66" s="8" t="n"/>
      <c r="J66" s="8" t="n"/>
      <c r="K66" s="8" t="n"/>
      <c r="L66" s="8" t="n"/>
      <c r="M66" s="9" t="n"/>
    </row>
    <row r="67">
      <c r="A67" s="3" t="inlineStr">
        <is>
          <t>B-US-10</t>
        </is>
      </c>
      <c r="B67" s="4" t="inlineStr">
        <is>
          <t>Moving to the US</t>
        </is>
      </c>
      <c r="C67" s="4" t="inlineStr">
        <is>
          <t>US (CPA)</t>
        </is>
      </c>
      <c r="D67" s="4" t="inlineStr">
        <is>
          <t>Indian home sale after arrival</t>
        </is>
      </c>
      <c r="E67" s="4" t="inlineStr">
        <is>
          <t>§121 can apply to a foreign home (2 of 5 years). FX gain on repaying an INR mortgage (§988). India taxes the gain under Art. 13 → US credit via Art. 25(3) re-sourcing.</t>
        </is>
      </c>
      <c r="F67" s="4" t="inlineStr">
        <is>
          <t>Certain (121, 988) / Likely (re-sourcing)</t>
        </is>
      </c>
      <c r="G67" s="4">
        <f>IF(ISNUMBER(SEARCH("Verify",F67)),"1 High",IF(ISNUMBER(SEARCH("Likely",F67)),"2 Medium","3 Low"))</f>
        <v/>
      </c>
      <c r="H67" s="8" t="n"/>
      <c r="I67" s="8" t="n"/>
      <c r="J67" s="8" t="n"/>
      <c r="K67" s="8" t="n"/>
      <c r="L67" s="8" t="n"/>
      <c r="M67" s="9" t="n"/>
    </row>
    <row r="68">
      <c r="A68" s="3" t="inlineStr">
        <is>
          <t>B-US-11</t>
        </is>
      </c>
      <c r="B68" s="4" t="inlineStr">
        <is>
          <t>Moving to the US</t>
        </is>
      </c>
      <c r="C68" s="4" t="inlineStr">
        <is>
          <t>US (CPA)</t>
        </is>
      </c>
      <c r="D68" s="4" t="inlineStr">
        <is>
          <t>EPF / PPF / NPS</t>
        </is>
      </c>
      <c r="E68" s="4" t="inlineStr">
        <is>
          <t>US: PPF interest taxable (India-exempt, so no credit). EPF employer contributions and growth possibly taxable; trust and Form 3520 classification is disputed.</t>
        </is>
      </c>
      <c r="F68" s="4" t="inlineStr">
        <is>
          <t>Likely / Verify</t>
        </is>
      </c>
      <c r="G68" s="4">
        <f>IF(ISNUMBER(SEARCH("Verify",F68)),"1 High",IF(ISNUMBER(SEARCH("Likely",F68)),"2 Medium","3 Low"))</f>
        <v/>
      </c>
      <c r="H68" s="8" t="n"/>
      <c r="I68" s="8" t="n"/>
      <c r="J68" s="8" t="n"/>
      <c r="K68" s="8" t="n"/>
      <c r="L68" s="8" t="n"/>
      <c r="M68" s="9" t="n"/>
    </row>
    <row r="69">
      <c r="A69" s="3" t="inlineStr">
        <is>
          <t>B-US-12</t>
        </is>
      </c>
      <c r="B69" s="4" t="inlineStr">
        <is>
          <t>Moving to the US</t>
        </is>
      </c>
      <c r="C69" s="4" t="inlineStr">
        <is>
          <t>US (CPA)</t>
        </is>
      </c>
      <c r="D69" s="4" t="inlineStr">
        <is>
          <t>FICA</t>
        </is>
      </c>
      <c r="E69" s="4" t="inlineStr">
        <is>
          <t>No India–US totalization agreement. H-1B/L-1 pay FICA from the first paycheck; F-1/J-1 exempt.</t>
        </is>
      </c>
      <c r="F69" s="4" t="inlineStr">
        <is>
          <t>Certain</t>
        </is>
      </c>
      <c r="G69" s="4">
        <f>IF(ISNUMBER(SEARCH("Verify",F69)),"1 High",IF(ISNUMBER(SEARCH("Likely",F69)),"2 Medium","3 Low"))</f>
        <v/>
      </c>
      <c r="H69" s="8" t="n"/>
      <c r="I69" s="8" t="n"/>
      <c r="J69" s="8" t="n"/>
      <c r="K69" s="8" t="n"/>
      <c r="L69" s="8" t="n"/>
      <c r="M69" s="9" t="n"/>
    </row>
    <row r="70">
      <c r="A70" s="3" t="inlineStr">
        <is>
          <t>B-US-13</t>
        </is>
      </c>
      <c r="B70" s="4" t="inlineStr">
        <is>
          <t>Moving to the US</t>
        </is>
      </c>
      <c r="C70" s="4" t="inlineStr">
        <is>
          <t>US (CPA)</t>
        </is>
      </c>
      <c r="D70" s="4" t="inlineStr">
        <is>
          <t>Dependents and spouse IDs</t>
        </is>
      </c>
      <c r="E70" s="4" t="inlineStr">
        <is>
          <t>Child Tax Credit needs an SSN. A §6013 election needs the spouse's SSN or ITIN (Form W-7).</t>
        </is>
      </c>
      <c r="F70" s="4" t="inlineStr">
        <is>
          <t>Certain</t>
        </is>
      </c>
      <c r="G70" s="4">
        <f>IF(ISNUMBER(SEARCH("Verify",F70)),"1 High",IF(ISNUMBER(SEARCH("Likely",F70)),"2 Medium","3 Low"))</f>
        <v/>
      </c>
      <c r="H70" s="8" t="n"/>
      <c r="I70" s="8" t="n"/>
      <c r="J70" s="8" t="n"/>
      <c r="K70" s="8" t="n"/>
      <c r="L70" s="8" t="n"/>
      <c r="M70" s="9" t="n"/>
    </row>
    <row r="71">
      <c r="A71" s="3" t="inlineStr">
        <is>
          <t>B-US-14</t>
        </is>
      </c>
      <c r="B71" s="4" t="inlineStr">
        <is>
          <t>Moving to the US</t>
        </is>
      </c>
      <c r="C71" s="4" t="inlineStr">
        <is>
          <t>US (CPA)</t>
        </is>
      </c>
      <c r="D71" s="4" t="inlineStr">
        <is>
          <t>Estimated-tax penalty in the first year</t>
        </is>
      </c>
      <c r="E71" s="4" t="inlineStr">
        <is>
          <t>The §6654 "no tax last year" exception needs a full-year US resident prior year — new arrivals usually don't qualify.</t>
        </is>
      </c>
      <c r="F71" s="4" t="inlineStr">
        <is>
          <t>Likely</t>
        </is>
      </c>
      <c r="G71" s="4">
        <f>IF(ISNUMBER(SEARCH("Verify",F71)),"1 High",IF(ISNUMBER(SEARCH("Likely",F71)),"2 Medium","3 Low"))</f>
        <v/>
      </c>
      <c r="H71" s="8" t="n"/>
      <c r="I71" s="8" t="n"/>
      <c r="J71" s="8" t="n"/>
      <c r="K71" s="8" t="n"/>
      <c r="L71" s="8" t="n"/>
      <c r="M71" s="9" t="n"/>
    </row>
    <row r="72">
      <c r="A72" s="3" t="inlineStr">
        <is>
          <t>B-US-15</t>
        </is>
      </c>
      <c r="B72" s="4" t="inlineStr">
        <is>
          <t>Moving to the US</t>
        </is>
      </c>
      <c r="C72" s="4" t="inlineStr">
        <is>
          <t>US (CPA)</t>
        </is>
      </c>
      <c r="D72" s="4" t="inlineStr">
        <is>
          <t>State entry</t>
        </is>
      </c>
      <c r="E72" s="4" t="inlineStr">
        <is>
          <t>Part-year resident. Most states (e.g. CA) give no credit for Indian tax.</t>
        </is>
      </c>
      <c r="F72" s="4" t="inlineStr">
        <is>
          <t>Likely</t>
        </is>
      </c>
      <c r="G72" s="4">
        <f>IF(ISNUMBER(SEARCH("Verify",F72)),"1 High",IF(ISNUMBER(SEARCH("Likely",F72)),"2 Medium","3 Low"))</f>
        <v/>
      </c>
      <c r="H72" s="8" t="n"/>
      <c r="I72" s="8" t="n"/>
      <c r="J72" s="8" t="n"/>
      <c r="K72" s="8" t="n"/>
      <c r="L72" s="8" t="n"/>
      <c r="M72" s="9" t="n"/>
    </row>
    <row r="73">
      <c r="A73" s="3" t="inlineStr">
        <is>
          <t>B-IN-1</t>
        </is>
      </c>
      <c r="B73" s="4" t="inlineStr">
        <is>
          <t>Moving to the US</t>
        </is>
      </c>
      <c r="C73" s="4" t="inlineStr">
        <is>
          <t>India (CA)</t>
        </is>
      </c>
      <c r="D73" s="4" t="inlineStr">
        <is>
          <t>Departure-FY status</t>
        </is>
      </c>
      <c r="E73" s="4" t="inlineStr">
        <is>
          <t>Leaving for employment → 182-day test only. Leaving before roughly late September → NR for that FY. Leaving later → resident (ROR) for the whole FY → India taxes US pay for Oct–Mar.</t>
        </is>
      </c>
      <c r="F73" s="4" t="inlineStr">
        <is>
          <t>Certain</t>
        </is>
      </c>
      <c r="G73" s="4">
        <f>IF(ISNUMBER(SEARCH("Verify",F73)),"1 High",IF(ISNUMBER(SEARCH("Likely",F73)),"2 Medium","3 Low"))</f>
        <v/>
      </c>
      <c r="H73" s="8" t="n"/>
      <c r="I73" s="8" t="n"/>
      <c r="J73" s="8" t="n"/>
      <c r="K73" s="8" t="n"/>
      <c r="L73" s="8" t="n"/>
      <c r="M73" s="9" t="n"/>
    </row>
    <row r="74">
      <c r="A74" s="3" t="inlineStr">
        <is>
          <t>B-IN-2</t>
        </is>
      </c>
      <c r="B74" s="4" t="inlineStr">
        <is>
          <t>Moving to the US</t>
        </is>
      </c>
      <c r="C74" s="4" t="inlineStr">
        <is>
          <t>India (CA)</t>
        </is>
      </c>
      <c r="D74" s="4" t="inlineStr">
        <is>
          <t>ROR in the departure FY (B4)</t>
        </is>
      </c>
      <c r="E74" s="4" t="inlineStr">
        <is>
          <t>Overlap window → Art. 4 tie-breaker for the window, or credit for US tax on US-earned pay (Art. 16 / 25). Schedule FA for that FY covers the new US accounts.</t>
        </is>
      </c>
      <c r="F74" s="4" t="inlineStr">
        <is>
          <t>Likely</t>
        </is>
      </c>
      <c r="G74" s="4">
        <f>IF(ISNUMBER(SEARCH("Verify",F74)),"1 High",IF(ISNUMBER(SEARCH("Likely",F74)),"2 Medium","3 Low"))</f>
        <v/>
      </c>
      <c r="H74" s="8" t="n"/>
      <c r="I74" s="8" t="n"/>
      <c r="J74" s="8" t="n"/>
      <c r="K74" s="8" t="n"/>
      <c r="L74" s="8" t="n"/>
      <c r="M74" s="9" t="n"/>
    </row>
    <row r="75">
      <c r="A75" s="3" t="inlineStr">
        <is>
          <t>B-IN-3</t>
        </is>
      </c>
      <c r="B75" s="4" t="inlineStr">
        <is>
          <t>Moving to the US</t>
        </is>
      </c>
      <c r="C75" s="4" t="inlineStr">
        <is>
          <t>India (CA)</t>
        </is>
      </c>
      <c r="D75" s="4" t="inlineStr">
        <is>
          <t>NR scope and withholding</t>
        </is>
      </c>
      <c r="E75" s="4" t="inlineStr">
        <is>
          <t>Indian income only. TDS at NR rates (s.195): NRO interest about 30%+, rent 30%+ (tenant deducts), dividends 20%. Treaty rates via TRC + Form 41 (s.159(8)). No s.87A rebate for NR.</t>
        </is>
      </c>
      <c r="F75" s="4" t="inlineStr">
        <is>
          <t>Certain</t>
        </is>
      </c>
      <c r="G75" s="4">
        <f>IF(ISNUMBER(SEARCH("Verify",F75)),"1 High",IF(ISNUMBER(SEARCH("Likely",F75)),"2 Medium","3 Low"))</f>
        <v/>
      </c>
      <c r="H75" s="8" t="n"/>
      <c r="I75" s="8" t="n"/>
      <c r="J75" s="8" t="n"/>
      <c r="K75" s="8" t="n"/>
      <c r="L75" s="8" t="n"/>
      <c r="M75" s="9" t="n"/>
    </row>
    <row r="76">
      <c r="A76" s="3" t="inlineStr">
        <is>
          <t>B-IN-4</t>
        </is>
      </c>
      <c r="B76" s="4" t="inlineStr">
        <is>
          <t>Moving to the US</t>
        </is>
      </c>
      <c r="C76" s="4" t="inlineStr">
        <is>
          <t>India (CA)</t>
        </is>
      </c>
      <c r="D76" s="4" t="inlineStr">
        <is>
          <t>FEMA redesignation</t>
        </is>
      </c>
      <c r="E76" s="4" t="inlineStr">
        <is>
          <t>Resident accounts → NRO. New foreign earnings → NRE. NRO repatriation up to $1M per FY with Form 15CA/15CB.</t>
        </is>
      </c>
      <c r="F76" s="4" t="inlineStr">
        <is>
          <t>Certain</t>
        </is>
      </c>
      <c r="G76" s="4">
        <f>IF(ISNUMBER(SEARCH("Verify",F76)),"1 High",IF(ISNUMBER(SEARCH("Likely",F76)),"2 Medium","3 Low"))</f>
        <v/>
      </c>
      <c r="H76" s="8" t="n"/>
      <c r="I76" s="8" t="n"/>
      <c r="J76" s="8" t="n"/>
      <c r="K76" s="8" t="n"/>
      <c r="L76" s="8" t="n"/>
      <c r="M76" s="9" t="n"/>
    </row>
    <row r="77">
      <c r="A77" s="3" t="inlineStr">
        <is>
          <t>B-IN-5</t>
        </is>
      </c>
      <c r="B77" s="4" t="inlineStr">
        <is>
          <t>Moving to the US</t>
        </is>
      </c>
      <c r="C77" s="4" t="inlineStr">
        <is>
          <t>India (CA)</t>
        </is>
      </c>
      <c r="D77" s="4" t="inlineStr">
        <is>
          <t>Gratuity / leave encashment</t>
        </is>
      </c>
      <c r="E77" s="4" t="inlineStr">
        <is>
          <t>India: gratuity exempt to ₹20L (s.10(10)), leave encashment to ₹25L (s.10(10AA)). The US taxes them if received while a resident, and there is no Indian tax to credit.</t>
        </is>
      </c>
      <c r="F77" s="4" t="inlineStr">
        <is>
          <t>Likely</t>
        </is>
      </c>
      <c r="G77" s="4">
        <f>IF(ISNUMBER(SEARCH("Verify",F77)),"1 High",IF(ISNUMBER(SEARCH("Likely",F77)),"2 Medium","3 Low"))</f>
        <v/>
      </c>
      <c r="H77" s="8" t="n"/>
      <c r="I77" s="8" t="n"/>
      <c r="J77" s="8" t="n"/>
      <c r="K77" s="8" t="n"/>
      <c r="L77" s="8" t="n"/>
      <c r="M77" s="9" t="n"/>
    </row>
    <row r="78">
      <c r="A78" s="3" t="inlineStr">
        <is>
          <t>B-IN-6</t>
        </is>
      </c>
      <c r="B78" s="4" t="inlineStr">
        <is>
          <t>Moving to the US</t>
        </is>
      </c>
      <c r="C78" s="4" t="inlineStr">
        <is>
          <t>India (CA)</t>
        </is>
      </c>
      <c r="D78" s="4" t="inlineStr">
        <is>
          <t>Indian ESOPs vesting or exercised after the move</t>
        </is>
      </c>
      <c r="E78" s="4" t="inlineStr">
        <is>
          <t>India taxes the perquisite on the India-workday share even as an NR. The US taxes the whole spread as a resident, with a credit for the India share.</t>
        </is>
      </c>
      <c r="F78" s="4" t="inlineStr">
        <is>
          <t>Likely</t>
        </is>
      </c>
      <c r="G78" s="4">
        <f>IF(ISNUMBER(SEARCH("Verify",F78)),"1 High",IF(ISNUMBER(SEARCH("Likely",F78)),"2 Medium","3 Low"))</f>
        <v/>
      </c>
      <c r="H78" s="8" t="n"/>
      <c r="I78" s="8" t="n"/>
      <c r="J78" s="8" t="n"/>
      <c r="K78" s="8" t="n"/>
      <c r="L78" s="8" t="n"/>
      <c r="M78" s="9" t="n"/>
    </row>
    <row r="79">
      <c r="A79" s="3" t="inlineStr">
        <is>
          <t>B-IN-7</t>
        </is>
      </c>
      <c r="B79" s="4" t="inlineStr">
        <is>
          <t>Moving to the US</t>
        </is>
      </c>
      <c r="C79" s="4" t="inlineStr">
        <is>
          <t>India (CA)</t>
        </is>
      </c>
      <c r="D79" s="4" t="inlineStr">
        <is>
          <t>Filing obligation as NR</t>
        </is>
      </c>
      <c r="E79" s="4" t="inlineStr">
        <is>
          <t>Only if Indian income is above the threshold or a refund is due.</t>
        </is>
      </c>
      <c r="F79" s="4" t="inlineStr">
        <is>
          <t>Certain</t>
        </is>
      </c>
      <c r="G79" s="4">
        <f>IF(ISNUMBER(SEARCH("Verify",F79)),"1 High",IF(ISNUMBER(SEARCH("Likely",F79)),"2 Medium","3 Low"))</f>
        <v/>
      </c>
      <c r="H79" s="8" t="n"/>
      <c r="I79" s="8" t="n"/>
      <c r="J79" s="8" t="n"/>
      <c r="K79" s="8" t="n"/>
      <c r="L79" s="8" t="n"/>
      <c r="M79" s="9" t="n"/>
    </row>
    <row r="80">
      <c r="A80" s="3" t="inlineStr">
        <is>
          <t>B-IN-8</t>
        </is>
      </c>
      <c r="B80" s="4" t="inlineStr">
        <is>
          <t>Moving to the US</t>
        </is>
      </c>
      <c r="C80" s="4" t="inlineStr">
        <is>
          <t>India (CA)</t>
        </is>
      </c>
      <c r="D80" s="4" t="inlineStr">
        <is>
          <t>Tax clearance on leaving</t>
        </is>
      </c>
      <c r="E80" s="4" t="inlineStr">
        <is>
          <t>Required only in specified cases (serious fraud, or tax arrears above a threshold) per the 2024 CBDT clarification.</t>
        </is>
      </c>
      <c r="F80" s="4" t="inlineStr">
        <is>
          <t>Likely</t>
        </is>
      </c>
      <c r="G80" s="4">
        <f>IF(ISNUMBER(SEARCH("Verify",F80)),"1 High",IF(ISNUMBER(SEARCH("Likely",F80)),"2 Medium","3 Low"))</f>
        <v/>
      </c>
      <c r="H80" s="8" t="n"/>
      <c r="I80" s="8" t="n"/>
      <c r="J80" s="8" t="n"/>
      <c r="K80" s="8" t="n"/>
      <c r="L80" s="8" t="n"/>
      <c r="M80" s="9" t="n"/>
    </row>
    <row r="81">
      <c r="A81" s="3" t="inlineStr">
        <is>
          <t>B-PLAN-1</t>
        </is>
      </c>
      <c r="B81" s="4" t="inlineStr">
        <is>
          <t>Moving to the US</t>
        </is>
      </c>
      <c r="C81" s="4" t="inlineStr">
        <is>
          <t>Both</t>
        </is>
      </c>
      <c r="D81" s="4" t="inlineStr">
        <is>
          <t>Sell appreciated Indian mutual funds and shares before the US start date</t>
        </is>
      </c>
      <c r="E81" s="4" t="inlineStr">
        <is>
          <t>Pays Indian capital gains tax (12.5% long-term above ₹1.25L for listed equity). Avoids PFIC treatment and US tax on gains built up in India. Rebuy to reset cost if wanted.</t>
        </is>
      </c>
      <c r="F81" s="4" t="inlineStr">
        <is>
          <t>Certain (mechanics) / Likely (rate)</t>
        </is>
      </c>
      <c r="G81" s="4">
        <f>IF(ISNUMBER(SEARCH("Verify",F81)),"1 High",IF(ISNUMBER(SEARCH("Likely",F81)),"2 Medium","3 Low"))</f>
        <v/>
      </c>
      <c r="H81" s="8" t="n"/>
      <c r="I81" s="8" t="n"/>
      <c r="J81" s="8" t="n"/>
      <c r="K81" s="8" t="n"/>
      <c r="L81" s="8" t="n"/>
      <c r="M81" s="9" t="n"/>
    </row>
    <row r="82">
      <c r="A82" s="3" t="inlineStr">
        <is>
          <t>B-PLAN-2</t>
        </is>
      </c>
      <c r="B82" s="4" t="inlineStr">
        <is>
          <t>Moving to the US</t>
        </is>
      </c>
      <c r="C82" s="4" t="inlineStr">
        <is>
          <t>Both</t>
        </is>
      </c>
      <c r="D82" s="4" t="inlineStr">
        <is>
          <t>Decide on ULIPs and endowment policies</t>
        </is>
      </c>
      <c r="E82" s="4" t="inlineStr">
        <is>
          <t>Possible PFIC; foreign-insurance excise tax; awkward reporting.</t>
        </is>
      </c>
      <c r="F82" s="4" t="inlineStr">
        <is>
          <t>Verify</t>
        </is>
      </c>
      <c r="G82" s="4">
        <f>IF(ISNUMBER(SEARCH("Verify",F82)),"1 High",IF(ISNUMBER(SEARCH("Likely",F82)),"2 Medium","3 Low"))</f>
        <v/>
      </c>
      <c r="H82" s="8" t="n"/>
      <c r="I82" s="8" t="n"/>
      <c r="J82" s="8" t="n"/>
      <c r="K82" s="8" t="n"/>
      <c r="L82" s="8" t="n"/>
      <c r="M82" s="9" t="n"/>
    </row>
    <row r="83">
      <c r="A83" s="3" t="inlineStr">
        <is>
          <t>B-PLAN-3</t>
        </is>
      </c>
      <c r="B83" s="4" t="inlineStr">
        <is>
          <t>Moving to the US</t>
        </is>
      </c>
      <c r="C83" s="4" t="inlineStr">
        <is>
          <t>Both</t>
        </is>
      </c>
      <c r="D83" s="4" t="inlineStr">
        <is>
          <t>Take gratuity and leave encashment before arrival</t>
        </is>
      </c>
      <c r="E83" s="4" t="inlineStr">
        <is>
          <t>See B-IN-5.</t>
        </is>
      </c>
      <c r="F83" s="4" t="inlineStr">
        <is>
          <t>Likely</t>
        </is>
      </c>
      <c r="G83" s="4">
        <f>IF(ISNUMBER(SEARCH("Verify",F83)),"1 High",IF(ISNUMBER(SEARCH("Likely",F83)),"2 Medium","3 Low"))</f>
        <v/>
      </c>
      <c r="H83" s="8" t="n"/>
      <c r="I83" s="8" t="n"/>
      <c r="J83" s="8" t="n"/>
      <c r="K83" s="8" t="n"/>
      <c r="L83" s="8" t="n"/>
      <c r="M83" s="9" t="n"/>
    </row>
    <row r="84">
      <c r="A84" s="3" t="inlineStr">
        <is>
          <t>B-PLAN-4</t>
        </is>
      </c>
      <c r="B84" s="4" t="inlineStr">
        <is>
          <t>Moving to the US</t>
        </is>
      </c>
      <c r="C84" s="4" t="inlineStr">
        <is>
          <t>Both</t>
        </is>
      </c>
      <c r="D84" s="4" t="inlineStr">
        <is>
          <t>Time the departure date</t>
        </is>
      </c>
      <c r="E84" s="4" t="inlineStr">
        <is>
          <t>See B-IN-1.</t>
        </is>
      </c>
      <c r="F84" s="4" t="inlineStr">
        <is>
          <t>Certain</t>
        </is>
      </c>
      <c r="G84" s="4">
        <f>IF(ISNUMBER(SEARCH("Verify",F84)),"1 High",IF(ISNUMBER(SEARCH("Likely",F84)),"2 Medium","3 Low"))</f>
        <v/>
      </c>
      <c r="H84" s="8" t="n"/>
      <c r="I84" s="8" t="n"/>
      <c r="J84" s="8" t="n"/>
      <c r="K84" s="8" t="n"/>
      <c r="L84" s="8" t="n"/>
      <c r="M84" s="9" t="n"/>
    </row>
    <row r="85">
      <c r="A85" s="3" t="inlineStr">
        <is>
          <t>B-PLAN-5</t>
        </is>
      </c>
      <c r="B85" s="4" t="inlineStr">
        <is>
          <t>Moving to the US</t>
        </is>
      </c>
      <c r="C85" s="4" t="inlineStr">
        <is>
          <t>Both</t>
        </is>
      </c>
      <c r="D85" s="4" t="inlineStr">
        <is>
          <t>Close or keep EPF/PPF</t>
        </is>
      </c>
      <c r="E85" s="4" t="inlineStr">
        <is>
          <t>US annual taxation of growth vs India exemption.</t>
        </is>
      </c>
      <c r="F85" s="4" t="inlineStr">
        <is>
          <t>Likely / Verify</t>
        </is>
      </c>
      <c r="G85" s="4">
        <f>IF(ISNUMBER(SEARCH("Verify",F85)),"1 High",IF(ISNUMBER(SEARCH("Likely",F85)),"2 Medium","3 Low"))</f>
        <v/>
      </c>
      <c r="H85" s="8" t="n"/>
      <c r="I85" s="8" t="n"/>
      <c r="J85" s="8" t="n"/>
      <c r="K85" s="8" t="n"/>
      <c r="L85" s="8" t="n"/>
      <c r="M85" s="9" t="n"/>
    </row>
    <row r="86">
      <c r="A86" s="3" t="inlineStr">
        <is>
          <t>B-DT-1</t>
        </is>
      </c>
      <c r="B86" s="4" t="inlineStr">
        <is>
          <t>Moving to the US</t>
        </is>
      </c>
      <c r="C86" s="4" t="inlineStr">
        <is>
          <t>Treaty (CA + CPA)</t>
        </is>
      </c>
      <c r="D86" s="4" t="inlineStr">
        <is>
          <t>Indian salary Apr–Aug</t>
        </is>
      </c>
      <c r="E86" s="4" t="inlineStr">
        <is>
          <t>India only (US nonresident period). (DTAA Art. 16)</t>
        </is>
      </c>
      <c r="F86" s="4" t="inlineStr">
        <is>
          <t>Likely</t>
        </is>
      </c>
      <c r="G86" s="4">
        <f>IF(ISNUMBER(SEARCH("Verify",F86)),"1 High",IF(ISNUMBER(SEARCH("Likely",F86)),"2 Medium","3 Low"))</f>
        <v/>
      </c>
      <c r="H86" s="8" t="n"/>
      <c r="I86" s="8" t="n"/>
      <c r="J86" s="8" t="n"/>
      <c r="K86" s="8" t="n"/>
      <c r="L86" s="8" t="n"/>
      <c r="M86" s="9" t="n"/>
    </row>
    <row r="87">
      <c r="A87" s="3" t="inlineStr">
        <is>
          <t>B-DT-2</t>
        </is>
      </c>
      <c r="B87" s="4" t="inlineStr">
        <is>
          <t>Moving to the US</t>
        </is>
      </c>
      <c r="C87" s="4" t="inlineStr">
        <is>
          <t>Treaty (CA + CPA)</t>
        </is>
      </c>
      <c r="D87" s="4" t="inlineStr">
        <is>
          <t>Indian rent after arrival</t>
        </is>
      </c>
      <c r="E87" s="4" t="inlineStr">
        <is>
          <t>India taxes; the US taxes worldwide and credits. (DTAA Art. 6, 25)</t>
        </is>
      </c>
      <c r="F87" s="4" t="inlineStr">
        <is>
          <t>Likely</t>
        </is>
      </c>
      <c r="G87" s="4">
        <f>IF(ISNUMBER(SEARCH("Verify",F87)),"1 High",IF(ISNUMBER(SEARCH("Likely",F87)),"2 Medium","3 Low"))</f>
        <v/>
      </c>
      <c r="H87" s="8" t="n"/>
      <c r="I87" s="8" t="n"/>
      <c r="J87" s="8" t="n"/>
      <c r="K87" s="8" t="n"/>
      <c r="L87" s="8" t="n"/>
      <c r="M87" s="9" t="n"/>
    </row>
    <row r="88">
      <c r="A88" s="3" t="inlineStr">
        <is>
          <t>B-DT-3</t>
        </is>
      </c>
      <c r="B88" s="4" t="inlineStr">
        <is>
          <t>Moving to the US</t>
        </is>
      </c>
      <c r="C88" s="4" t="inlineStr">
        <is>
          <t>Treaty (CA + CPA)</t>
        </is>
      </c>
      <c r="D88" s="4" t="inlineStr">
        <is>
          <t>NRO interest / Indian dividends</t>
        </is>
      </c>
      <c r="E88" s="4" t="inlineStr">
        <is>
          <t>Indian withholding capped at treaty rates (TRC + Form 41). The US credits. (DTAA Art. 11 / 10, 25)</t>
        </is>
      </c>
      <c r="F88" s="4" t="inlineStr">
        <is>
          <t>Likely</t>
        </is>
      </c>
      <c r="G88" s="4">
        <f>IF(ISNUMBER(SEARCH("Verify",F88)),"1 High",IF(ISNUMBER(SEARCH("Likely",F88)),"2 Medium","3 Low"))</f>
        <v/>
      </c>
      <c r="H88" s="8" t="n"/>
      <c r="I88" s="8" t="n"/>
      <c r="J88" s="8" t="n"/>
      <c r="K88" s="8" t="n"/>
      <c r="L88" s="8" t="n"/>
      <c r="M88" s="9" t="n"/>
    </row>
    <row r="89">
      <c r="A89" s="3" t="inlineStr">
        <is>
          <t>B-DT-4</t>
        </is>
      </c>
      <c r="B89" s="4" t="inlineStr">
        <is>
          <t>Moving to the US</t>
        </is>
      </c>
      <c r="C89" s="4" t="inlineStr">
        <is>
          <t>Treaty (CA + CPA)</t>
        </is>
      </c>
      <c r="D89" s="4" t="inlineStr">
        <is>
          <t>Indian share or mutual-fund sale after arrival</t>
        </is>
      </c>
      <c r="E89" s="4" t="inlineStr">
        <is>
          <t>Both tax. The US credits via re-sourcing (verify the scope for listed securities). (DTAA Art. 13, 25(3))</t>
        </is>
      </c>
      <c r="F89" s="4" t="inlineStr">
        <is>
          <t>Likely</t>
        </is>
      </c>
      <c r="G89" s="4">
        <f>IF(ISNUMBER(SEARCH("Verify",F89)),"1 High",IF(ISNUMBER(SEARCH("Likely",F89)),"2 Medium","3 Low"))</f>
        <v/>
      </c>
      <c r="H89" s="8" t="n"/>
      <c r="I89" s="8" t="n"/>
      <c r="J89" s="8" t="n"/>
      <c r="K89" s="8" t="n"/>
      <c r="L89" s="8" t="n"/>
      <c r="M89" s="9" t="n"/>
    </row>
    <row r="90">
      <c r="A90" s="3" t="inlineStr">
        <is>
          <t>B-DT-5</t>
        </is>
      </c>
      <c r="B90" s="4" t="inlineStr">
        <is>
          <t>Moving to the US</t>
        </is>
      </c>
      <c r="C90" s="4" t="inlineStr">
        <is>
          <t>Treaty (CA + CPA)</t>
        </is>
      </c>
      <c r="D90" s="4" t="inlineStr">
        <is>
          <t>Student</t>
        </is>
      </c>
      <c r="E90" s="4" t="inlineStr">
        <is>
          <t>1040-NR standard deduction. (DTAA Art. 21)</t>
        </is>
      </c>
      <c r="F90" s="4" t="inlineStr">
        <is>
          <t>Likely</t>
        </is>
      </c>
      <c r="G90" s="4">
        <f>IF(ISNUMBER(SEARCH("Verify",F90)),"1 High",IF(ISNUMBER(SEARCH("Likely",F90)),"2 Medium","3 Low"))</f>
        <v/>
      </c>
      <c r="H90" s="8" t="n"/>
      <c r="I90" s="8" t="n"/>
      <c r="J90" s="8" t="n"/>
      <c r="K90" s="8" t="n"/>
      <c r="L90" s="8" t="n"/>
      <c r="M90" s="9" t="n"/>
    </row>
    <row r="91">
      <c r="A91" s="3" t="inlineStr">
        <is>
          <t>B-DT-6</t>
        </is>
      </c>
      <c r="B91" s="4" t="inlineStr">
        <is>
          <t>Moving to the US</t>
        </is>
      </c>
      <c r="C91" s="4" t="inlineStr">
        <is>
          <t>Treaty (CA + CPA)</t>
        </is>
      </c>
      <c r="D91" s="4" t="inlineStr">
        <is>
          <t>B4 overlap Nov–Mar</t>
        </is>
      </c>
      <c r="E91" s="4" t="inlineStr">
        <is>
          <t>Tie-breaker for the window, or an India credit for US tax on US-earned pay. (DTAA Art. 4, 16, 25)</t>
        </is>
      </c>
      <c r="F91" s="4" t="inlineStr">
        <is>
          <t>Likely</t>
        </is>
      </c>
      <c r="G91" s="4">
        <f>IF(ISNUMBER(SEARCH("Verify",F91)),"1 High",IF(ISNUMBER(SEARCH("Likely",F91)),"2 Medium","3 Low"))</f>
        <v/>
      </c>
      <c r="H91" s="8" t="n"/>
      <c r="I91" s="8" t="n"/>
      <c r="J91" s="8" t="n"/>
      <c r="K91" s="8" t="n"/>
      <c r="L91" s="8" t="n"/>
      <c r="M91" s="9" t="n"/>
    </row>
    <row r="92">
      <c r="A92" s="3" t="inlineStr">
        <is>
          <t>L-1</t>
        </is>
      </c>
      <c r="B92" s="4" t="inlineStr">
        <is>
          <t>Both</t>
        </is>
      </c>
      <c r="C92" s="4" t="inlineStr">
        <is>
          <t>Both</t>
        </is>
      </c>
      <c r="D92" s="4" t="inlineStr">
        <is>
          <t>Indian home loan after moving to the US</t>
        </is>
      </c>
      <c r="E92" s="4" t="inlineStr">
        <is>
          <t>India: s.24(b) interest stays deductible for a let-out property (the self-occupied ₹2L cap is old-regime only). US: interest on a foreign main or second home is deductible on Schedule A (acquisition debt up to $750k), or on Schedule E if rented. §988: an FX gain on repaying an INR loan is taxable; a loss on a personal-use loan is not deductible.</t>
        </is>
      </c>
      <c r="F92" s="4" t="inlineStr">
        <is>
          <t>Likely</t>
        </is>
      </c>
      <c r="G92" s="4">
        <f>IF(ISNUMBER(SEARCH("Verify",F92)),"1 High",IF(ISNUMBER(SEARCH("Likely",F92)),"2 Medium","3 Low"))</f>
        <v/>
      </c>
      <c r="H92" s="8" t="n"/>
      <c r="I92" s="8" t="n"/>
      <c r="J92" s="8" t="n"/>
      <c r="K92" s="8" t="n"/>
      <c r="L92" s="8" t="n"/>
      <c r="M92" s="9" t="n"/>
    </row>
    <row r="93">
      <c r="A93" s="3" t="inlineStr">
        <is>
          <t>L-2</t>
        </is>
      </c>
      <c r="B93" s="4" t="inlineStr">
        <is>
          <t>Both</t>
        </is>
      </c>
      <c r="C93" s="4" t="inlineStr">
        <is>
          <t>Both</t>
        </is>
      </c>
      <c r="D93" s="4" t="inlineStr">
        <is>
          <t>US mortgage after returning to India</t>
        </is>
      </c>
      <c r="E93" s="4" t="inlineStr">
        <is>
          <t>US: Schedule E interest under the §871(d) net-basis election if rented. India (ROR): foreign house-property income with s.24 interest. Paying it from India goes through LRS, with TCS (G-17).</t>
        </is>
      </c>
      <c r="F93" s="4" t="inlineStr">
        <is>
          <t>Likely</t>
        </is>
      </c>
      <c r="G93" s="4">
        <f>IF(ISNUMBER(SEARCH("Verify",F93)),"1 High",IF(ISNUMBER(SEARCH("Likely",F93)),"2 Medium","3 Low"))</f>
        <v/>
      </c>
      <c r="H93" s="8" t="n"/>
      <c r="I93" s="8" t="n"/>
      <c r="J93" s="8" t="n"/>
      <c r="K93" s="8" t="n"/>
      <c r="L93" s="8" t="n"/>
      <c r="M93" s="9" t="n"/>
    </row>
    <row r="94">
      <c r="A94" s="3" t="inlineStr">
        <is>
          <t>L-3</t>
        </is>
      </c>
      <c r="B94" s="4" t="inlineStr">
        <is>
          <t>Both</t>
        </is>
      </c>
      <c r="C94" s="4" t="inlineStr">
        <is>
          <t>Both</t>
        </is>
      </c>
      <c r="D94" s="4" t="inlineStr">
        <is>
          <t>Student loans</t>
        </is>
      </c>
      <c r="E94" s="4" t="inlineStr">
        <is>
          <t>US: the §221 interest deduction is lost for a nonresident or MFS filer. India: s.80E applies only to loans from Indian institutions. Repaying from India goes through LRS.</t>
        </is>
      </c>
      <c r="F94" s="4" t="inlineStr">
        <is>
          <t>Likely / Verify</t>
        </is>
      </c>
      <c r="G94" s="4">
        <f>IF(ISNUMBER(SEARCH("Verify",F94)),"1 High",IF(ISNUMBER(SEARCH("Likely",F94)),"2 Medium","3 Low"))</f>
        <v/>
      </c>
      <c r="H94" s="8" t="n"/>
      <c r="I94" s="8" t="n"/>
      <c r="J94" s="8" t="n"/>
      <c r="K94" s="8" t="n"/>
      <c r="L94" s="8" t="n"/>
      <c r="M94" s="9" t="n"/>
    </row>
    <row r="95">
      <c r="A95" s="3" t="inlineStr">
        <is>
          <t>L-4</t>
        </is>
      </c>
      <c r="B95" s="4" t="inlineStr">
        <is>
          <t>Both</t>
        </is>
      </c>
      <c r="C95" s="4" t="inlineStr">
        <is>
          <t>Both</t>
        </is>
      </c>
      <c r="D95" s="4" t="inlineStr">
        <is>
          <t>Debt settled or forgiven around the move</t>
        </is>
      </c>
      <c r="E95" s="4" t="inlineStr">
        <is>
          <t>US cancellation-of-debt income arises when debt is settled or forgiven around the move. How it is sourced for a non-resident needs legal confirmation.</t>
        </is>
      </c>
      <c r="F95" s="4" t="inlineStr">
        <is>
          <t>Verify</t>
        </is>
      </c>
      <c r="G95" s="4">
        <f>IF(ISNUMBER(SEARCH("Verify",F95)),"1 High",IF(ISNUMBER(SEARCH("Likely",F95)),"2 Medium","3 Low"))</f>
        <v/>
      </c>
      <c r="H95" s="8" t="n"/>
      <c r="I95" s="8" t="n"/>
      <c r="J95" s="8" t="n"/>
      <c r="K95" s="8" t="n"/>
      <c r="L95" s="8" t="n"/>
      <c r="M95" s="9" t="n"/>
    </row>
    <row r="96">
      <c r="A96" s="3" t="inlineStr">
        <is>
          <t>L-5</t>
        </is>
      </c>
      <c r="B96" s="4" t="inlineStr">
        <is>
          <t>Both</t>
        </is>
      </c>
      <c r="C96" s="4" t="inlineStr">
        <is>
          <t>Both</t>
        </is>
      </c>
      <c r="D96" s="4" t="inlineStr">
        <is>
          <t>401(k) loan when leaving the employer</t>
        </is>
      </c>
      <c r="E96" s="4" t="inlineStr">
        <is>
          <t>An unpaid balance usually becomes a loan offset, i.e. a taxable distribution, plus §72(t) if under 59½. A common returnee trap. The rollover deadline is extended to the return due date.</t>
        </is>
      </c>
      <c r="F96" s="4" t="inlineStr">
        <is>
          <t>Likely</t>
        </is>
      </c>
      <c r="G96" s="4">
        <f>IF(ISNUMBER(SEARCH("Verify",F96)),"1 High",IF(ISNUMBER(SEARCH("Likely",F96)),"2 Medium","3 Low"))</f>
        <v/>
      </c>
      <c r="H96" s="8" t="n"/>
      <c r="I96" s="8" t="n"/>
      <c r="J96" s="8" t="n"/>
      <c r="K96" s="8" t="n"/>
      <c r="L96" s="8" t="n"/>
      <c r="M96" s="9" t="n"/>
    </row>
    <row r="97">
      <c r="A97" s="3" t="inlineStr">
        <is>
          <t>L-6</t>
        </is>
      </c>
      <c r="B97" s="4" t="inlineStr">
        <is>
          <t>Both</t>
        </is>
      </c>
      <c r="C97" s="4" t="inlineStr">
        <is>
          <t>Both</t>
        </is>
      </c>
      <c r="D97" s="4" t="inlineStr">
        <is>
          <t>Loans against securities, margin</t>
        </is>
      </c>
      <c r="E97" s="4" t="inlineStr">
        <is>
          <t>Selling to repay can trigger gains in the wrong country or period.</t>
        </is>
      </c>
      <c r="F97" s="4" t="inlineStr">
        <is>
          <t>Likely</t>
        </is>
      </c>
      <c r="G97" s="4">
        <f>IF(ISNUMBER(SEARCH("Verify",F97)),"1 High",IF(ISNUMBER(SEARCH("Likely",F97)),"2 Medium","3 Low"))</f>
        <v/>
      </c>
      <c r="H97" s="8" t="n"/>
      <c r="I97" s="8" t="n"/>
      <c r="J97" s="8" t="n"/>
      <c r="K97" s="8" t="n"/>
      <c r="L97" s="8" t="n"/>
      <c r="M97" s="9" t="n"/>
    </row>
    <row r="98">
      <c r="A98" s="3" t="inlineStr">
        <is>
          <t>L-7</t>
        </is>
      </c>
      <c r="B98" s="4" t="inlineStr">
        <is>
          <t>Both</t>
        </is>
      </c>
      <c r="C98" s="4" t="inlineStr">
        <is>
          <t>Both</t>
        </is>
      </c>
      <c r="D98" s="4" t="inlineStr">
        <is>
          <t>Tax owed at the move</t>
        </is>
      </c>
      <c r="E98" s="4" t="inlineStr">
        <is>
          <t>US final balance due and nonresident-period estimates; India advance tax; India tax clearance (B-IN-8).</t>
        </is>
      </c>
      <c r="F98" s="4" t="inlineStr">
        <is>
          <t>Certain</t>
        </is>
      </c>
      <c r="G98" s="4">
        <f>IF(ISNUMBER(SEARCH("Verify",F98)),"1 High",IF(ISNUMBER(SEARCH("Likely",F98)),"2 Medium","3 Low"))</f>
        <v/>
      </c>
      <c r="H98" s="8" t="n"/>
      <c r="I98" s="8" t="n"/>
      <c r="J98" s="8" t="n"/>
      <c r="K98" s="8" t="n"/>
      <c r="L98" s="8" t="n"/>
      <c r="M98" s="9" t="n"/>
    </row>
    <row r="99">
      <c r="A99" s="3" t="inlineStr">
        <is>
          <t>G-1</t>
        </is>
      </c>
      <c r="B99" s="4" t="inlineStr">
        <is>
          <t>Both</t>
        </is>
      </c>
      <c r="C99" s="4" t="inlineStr">
        <is>
          <t>Both</t>
        </is>
      </c>
      <c r="D99" s="4" t="inlineStr">
        <is>
          <t>US state domicile</t>
        </is>
      </c>
      <c r="E99" s="4" t="inlineStr">
        <is>
          <t>CA, NY, VA and others can keep taxing until domicile is broken. Most states ignore the treaty and give no credit for Indian tax.</t>
        </is>
      </c>
      <c r="F99" s="4" t="inlineStr">
        <is>
          <t>Likely</t>
        </is>
      </c>
      <c r="G99" s="4">
        <f>IF(ISNUMBER(SEARCH("Verify",F99)),"1 High",IF(ISNUMBER(SEARCH("Likely",F99)),"2 Medium","3 Low"))</f>
        <v/>
      </c>
      <c r="H99" s="8" t="n"/>
      <c r="I99" s="8" t="n"/>
      <c r="J99" s="8" t="n"/>
      <c r="K99" s="8" t="n"/>
      <c r="L99" s="8" t="n"/>
      <c r="M99" s="9" t="n"/>
    </row>
    <row r="100">
      <c r="A100" s="3" t="inlineStr">
        <is>
          <t>G-2</t>
        </is>
      </c>
      <c r="B100" s="4" t="inlineStr">
        <is>
          <t>Both</t>
        </is>
      </c>
      <c r="C100" s="4" t="inlineStr">
        <is>
          <t>Both</t>
        </is>
      </c>
      <c r="D100" s="4" t="inlineStr">
        <is>
          <t>Visit days after the move</t>
        </is>
      </c>
      <c r="E100" s="4" t="inlineStr">
        <is>
          <t>A returnee visiting the US for about 140 days a year meets the US 183-day test again under the 3-year weighting (140 + 46.7 + 23.3 = 210). With under 183 days in the current year they can still claim a closer connection to India (Form 8840, by the return due date), but the claim must be filed. An Indian citizen who moved to the US, visits India 120+ days, has Indian income over ₹15L, and was in India 365+ days over the previous 4 years becomes resident (RNOR) again.</t>
        </is>
      </c>
      <c r="F100" s="4" t="inlineStr">
        <is>
          <t>Certain</t>
        </is>
      </c>
      <c r="G100" s="4">
        <f>IF(ISNUMBER(SEARCH("Verify",F100)),"1 High",IF(ISNUMBER(SEARCH("Likely",F100)),"2 Medium","3 Low"))</f>
        <v/>
      </c>
      <c r="H100" s="8" t="n"/>
      <c r="I100" s="8" t="n"/>
      <c r="J100" s="8" t="n"/>
      <c r="K100" s="8" t="n"/>
      <c r="L100" s="8" t="n"/>
      <c r="M100" s="9" t="n"/>
    </row>
    <row r="101">
      <c r="A101" s="3" t="inlineStr">
        <is>
          <t>G-3</t>
        </is>
      </c>
      <c r="B101" s="4" t="inlineStr">
        <is>
          <t>Both</t>
        </is>
      </c>
      <c r="C101" s="4" t="inlineStr">
        <is>
          <t>Both</t>
        </is>
      </c>
      <c r="D101" s="4" t="inlineStr">
        <is>
          <t>Green card kept with a re-entry permit</t>
        </is>
      </c>
      <c r="E101" s="4" t="inlineStr">
        <is>
          <t>The holder stays a US tax resident on worldwide income while living in India. Claiming treaty residence instead triggers §877A for a long-term resident (A-US-8).</t>
        </is>
      </c>
      <c r="F101" s="4" t="inlineStr">
        <is>
          <t>Certain</t>
        </is>
      </c>
      <c r="G101" s="4">
        <f>IF(ISNUMBER(SEARCH("Verify",F101)),"1 High",IF(ISNUMBER(SEARCH("Likely",F101)),"2 Medium","3 Low"))</f>
        <v/>
      </c>
      <c r="H101" s="8" t="n"/>
      <c r="I101" s="8" t="n"/>
      <c r="J101" s="8" t="n"/>
      <c r="K101" s="8" t="n"/>
      <c r="L101" s="8" t="n"/>
      <c r="M101" s="9" t="n"/>
    </row>
    <row r="102">
      <c r="A102" s="3" t="inlineStr">
        <is>
          <t>G-4</t>
        </is>
      </c>
      <c r="B102" s="4" t="inlineStr">
        <is>
          <t>Both</t>
        </is>
      </c>
      <c r="C102" s="4" t="inlineStr">
        <is>
          <t>Both</t>
        </is>
      </c>
      <c r="D102" s="4" t="inlineStr">
        <is>
          <t>US-citizen children</t>
        </is>
      </c>
      <c r="E102" s="4" t="inlineStr">
        <is>
          <t>A US-born child is a US citizen for life: their own US filing threshold, FBAR on their Indian accounts, PFIC on Indian funds in their name, SSN for the Child Tax Credit. India clubs a minor's income with the parent's (s.64(1A)).</t>
        </is>
      </c>
      <c r="F102" s="4" t="inlineStr">
        <is>
          <t>Certain / Likely</t>
        </is>
      </c>
      <c r="G102" s="4">
        <f>IF(ISNUMBER(SEARCH("Verify",F102)),"1 High",IF(ISNUMBER(SEARCH("Likely",F102)),"2 Medium","3 Low"))</f>
        <v/>
      </c>
      <c r="H102" s="8" t="n"/>
      <c r="I102" s="8" t="n"/>
      <c r="J102" s="8" t="n"/>
      <c r="K102" s="8" t="n"/>
      <c r="L102" s="8" t="n"/>
      <c r="M102" s="9" t="n"/>
    </row>
    <row r="103">
      <c r="A103" s="3" t="inlineStr">
        <is>
          <t>G-5</t>
        </is>
      </c>
      <c r="B103" s="4" t="inlineStr">
        <is>
          <t>Both</t>
        </is>
      </c>
      <c r="C103" s="4" t="inlineStr">
        <is>
          <t>Both</t>
        </is>
      </c>
      <c r="D103" s="4" t="inlineStr">
        <is>
          <t>Indian HUF</t>
        </is>
      </c>
      <c r="E103" s="4" t="inlineStr">
        <is>
          <t>US classification of an HUF interest is unsettled.</t>
        </is>
      </c>
      <c r="F103" s="4" t="inlineStr">
        <is>
          <t>Verify</t>
        </is>
      </c>
      <c r="G103" s="4">
        <f>IF(ISNUMBER(SEARCH("Verify",F103)),"1 High",IF(ISNUMBER(SEARCH("Likely",F103)),"2 Medium","3 Low"))</f>
        <v/>
      </c>
      <c r="H103" s="8" t="n"/>
      <c r="I103" s="8" t="n"/>
      <c r="J103" s="8" t="n"/>
      <c r="K103" s="8" t="n"/>
      <c r="L103" s="8" t="n"/>
      <c r="M103" s="9" t="n"/>
    </row>
    <row r="104">
      <c r="A104" s="3" t="inlineStr">
        <is>
          <t>G-6</t>
        </is>
      </c>
      <c r="B104" s="4" t="inlineStr">
        <is>
          <t>Both</t>
        </is>
      </c>
      <c r="C104" s="4" t="inlineStr">
        <is>
          <t>Both</t>
        </is>
      </c>
      <c r="D104" s="4" t="inlineStr">
        <is>
          <t>US LLC owned by an India resident</t>
        </is>
      </c>
      <c r="E104" s="4" t="inlineStr">
        <is>
          <t>Transparent for US tax, possibly a company for India: tax-credit mismatch, Schedule FA reporting.</t>
        </is>
      </c>
      <c r="F104" s="4" t="inlineStr">
        <is>
          <t>Verify</t>
        </is>
      </c>
      <c r="G104" s="4">
        <f>IF(ISNUMBER(SEARCH("Verify",F104)),"1 High",IF(ISNUMBER(SEARCH("Likely",F104)),"2 Medium","3 Low"))</f>
        <v/>
      </c>
      <c r="H104" s="8" t="n"/>
      <c r="I104" s="8" t="n"/>
      <c r="J104" s="8" t="n"/>
      <c r="K104" s="8" t="n"/>
      <c r="L104" s="8" t="n"/>
      <c r="M104" s="9" t="n"/>
    </row>
    <row r="105">
      <c r="A105" s="3" t="inlineStr">
        <is>
          <t>G-7</t>
        </is>
      </c>
      <c r="B105" s="4" t="inlineStr">
        <is>
          <t>Both</t>
        </is>
      </c>
      <c r="C105" s="4" t="inlineStr">
        <is>
          <t>Both</t>
        </is>
      </c>
      <c r="D105" s="4" t="inlineStr">
        <is>
          <t>US revocable / living trust</t>
        </is>
      </c>
      <c r="E105" s="4" t="inlineStr">
        <is>
          <t>India may not recognise the grantor-trust treatment; Schedule FA trust reporting.</t>
        </is>
      </c>
      <c r="F105" s="4" t="inlineStr">
        <is>
          <t>Verify</t>
        </is>
      </c>
      <c r="G105" s="4">
        <f>IF(ISNUMBER(SEARCH("Verify",F105)),"1 High",IF(ISNUMBER(SEARCH("Likely",F105)),"2 Medium","3 Low"))</f>
        <v/>
      </c>
      <c r="H105" s="8" t="n"/>
      <c r="I105" s="8" t="n"/>
      <c r="J105" s="8" t="n"/>
      <c r="K105" s="8" t="n"/>
      <c r="L105" s="8" t="n"/>
      <c r="M105" s="9" t="n"/>
    </row>
    <row r="106">
      <c r="A106" s="3" t="inlineStr">
        <is>
          <t>G-8</t>
        </is>
      </c>
      <c r="B106" s="4" t="inlineStr">
        <is>
          <t>Both</t>
        </is>
      </c>
      <c r="C106" s="4" t="inlineStr">
        <is>
          <t>Both</t>
        </is>
      </c>
      <c r="D106" s="4" t="inlineStr">
        <is>
          <t>Crypto</t>
        </is>
      </c>
      <c r="E106" s="4" t="inlineStr">
        <is>
          <t>No US cost reset on arrival. India 30% VDA tax and 1% TDS. Reporting of crypto held on foreign exchanges is unclear.</t>
        </is>
      </c>
      <c r="F106" s="4" t="inlineStr">
        <is>
          <t>Likely / Verify</t>
        </is>
      </c>
      <c r="G106" s="4">
        <f>IF(ISNUMBER(SEARCH("Verify",F106)),"1 High",IF(ISNUMBER(SEARCH("Likely",F106)),"2 Medium","3 Low"))</f>
        <v/>
      </c>
      <c r="H106" s="8" t="n"/>
      <c r="I106" s="8" t="n"/>
      <c r="J106" s="8" t="n"/>
      <c r="K106" s="8" t="n"/>
      <c r="L106" s="8" t="n"/>
      <c r="M106" s="9" t="n"/>
    </row>
    <row r="107">
      <c r="A107" s="3" t="inlineStr">
        <is>
          <t>G-9</t>
        </is>
      </c>
      <c r="B107" s="4" t="inlineStr">
        <is>
          <t>Both</t>
        </is>
      </c>
      <c r="C107" s="4" t="inlineStr">
        <is>
          <t>Both</t>
        </is>
      </c>
      <c r="D107" s="4" t="inlineStr">
        <is>
          <t>ESPP</t>
        </is>
      </c>
      <c r="E107" s="4" t="inlineStr">
        <is>
          <t>ESPP: India taxes the discount at purchase; the US taxes at sale (qualifying or disqualifying disposition). Workday sourcing applies when the offering period straddles the move.</t>
        </is>
      </c>
      <c r="F107" s="4" t="inlineStr">
        <is>
          <t>Certain (gap) / Likely (rules)</t>
        </is>
      </c>
      <c r="G107" s="4">
        <f>IF(ISNUMBER(SEARCH("Verify",F107)),"1 High",IF(ISNUMBER(SEARCH("Likely",F107)),"2 Medium","3 Low"))</f>
        <v/>
      </c>
      <c r="H107" s="8" t="n"/>
      <c r="I107" s="8" t="n"/>
      <c r="J107" s="8" t="n"/>
      <c r="K107" s="8" t="n"/>
      <c r="L107" s="8" t="n"/>
      <c r="M107" s="9" t="n"/>
    </row>
    <row r="108">
      <c r="A108" s="3" t="inlineStr">
        <is>
          <t>G-10</t>
        </is>
      </c>
      <c r="B108" s="4" t="inlineStr">
        <is>
          <t>Both</t>
        </is>
      </c>
      <c r="C108" s="4" t="inlineStr">
        <is>
          <t>Both</t>
        </is>
      </c>
      <c r="D108" s="4" t="inlineStr">
        <is>
          <t>Relocation benefits</t>
        </is>
      </c>
      <c r="E108" s="4" t="inlineStr">
        <is>
          <t>Employer-paid moving costs, relocation bonus, tax gross-ups: taxable in the US (the moving-expense exclusion is military-only). Indian treatment of relocation reimbursements needs legal confirmation.</t>
        </is>
      </c>
      <c r="F108" s="4" t="inlineStr">
        <is>
          <t>Likely / Verify</t>
        </is>
      </c>
      <c r="G108" s="4">
        <f>IF(ISNUMBER(SEARCH("Verify",F108)),"1 High",IF(ISNUMBER(SEARCH("Likely",F108)),"2 Medium","3 Low"))</f>
        <v/>
      </c>
      <c r="H108" s="8" t="n"/>
      <c r="I108" s="8" t="n"/>
      <c r="J108" s="8" t="n"/>
      <c r="K108" s="8" t="n"/>
      <c r="L108" s="8" t="n"/>
      <c r="M108" s="9" t="n"/>
    </row>
    <row r="109">
      <c r="A109" s="3" t="inlineStr">
        <is>
          <t>G-11</t>
        </is>
      </c>
      <c r="B109" s="4" t="inlineStr">
        <is>
          <t>Both</t>
        </is>
      </c>
      <c r="C109" s="4" t="inlineStr">
        <is>
          <t>Both</t>
        </is>
      </c>
      <c r="D109" s="4" t="inlineStr">
        <is>
          <t>Consultants keeping US clients from India</t>
        </is>
      </c>
      <c r="E109" s="4" t="inlineStr">
        <is>
          <t>India business income. US: no tax on services done outside the US for a nonresident, no SE tax. Clients need a W-8BEN instead of a W-9. India GST on exported services is out of scope; disclosed only.</t>
        </is>
      </c>
      <c r="F109" s="4" t="inlineStr">
        <is>
          <t>Likely</t>
        </is>
      </c>
      <c r="G109" s="4">
        <f>IF(ISNUMBER(SEARCH("Verify",F109)),"1 High",IF(ISNUMBER(SEARCH("Likely",F109)),"2 Medium","3 Low"))</f>
        <v/>
      </c>
      <c r="H109" s="8" t="n"/>
      <c r="I109" s="8" t="n"/>
      <c r="J109" s="8" t="n"/>
      <c r="K109" s="8" t="n"/>
      <c r="L109" s="8" t="n"/>
      <c r="M109" s="9" t="n"/>
    </row>
    <row r="110">
      <c r="A110" s="3" t="inlineStr">
        <is>
          <t>G-12</t>
        </is>
      </c>
      <c r="B110" s="4" t="inlineStr">
        <is>
          <t>Both</t>
        </is>
      </c>
      <c r="C110" s="4" t="inlineStr">
        <is>
          <t>Both</t>
        </is>
      </c>
      <c r="D110" s="4" t="inlineStr">
        <is>
          <t>US carryovers after becoming nonresident</t>
        </is>
      </c>
      <c r="E110" s="4" t="inlineStr">
        <is>
          <t>Capital-loss carryover, NOL, foreign-tax-credit carryover, suspended passive losses, AMT credit: usable only against US-connected income. The FTC carryover is usually lost in practice.</t>
        </is>
      </c>
      <c r="F110" s="4" t="inlineStr">
        <is>
          <t>Likely</t>
        </is>
      </c>
      <c r="G110" s="4">
        <f>IF(ISNUMBER(SEARCH("Verify",F110)),"1 High",IF(ISNUMBER(SEARCH("Likely",F110)),"2 Medium","3 Low"))</f>
        <v/>
      </c>
      <c r="H110" s="8" t="n"/>
      <c r="I110" s="8" t="n"/>
      <c r="J110" s="8" t="n"/>
      <c r="K110" s="8" t="n"/>
      <c r="L110" s="8" t="n"/>
      <c r="M110" s="9" t="n"/>
    </row>
    <row r="111">
      <c r="A111" s="3" t="inlineStr">
        <is>
          <t>G-13</t>
        </is>
      </c>
      <c r="B111" s="4" t="inlineStr">
        <is>
          <t>Both</t>
        </is>
      </c>
      <c r="C111" s="4" t="inlineStr">
        <is>
          <t>Both</t>
        </is>
      </c>
      <c r="D111" s="4" t="inlineStr">
        <is>
          <t>Due dates change with status</t>
        </is>
      </c>
      <c r="E111" s="4" t="inlineStr">
        <is>
          <t>1040-NR without wages subject to withholding: due 15 June. US citizens and residents living abroad: automatic extension to 15 June. First-year choice needs an extension. India: due date depends on the ITR form and audit status.</t>
        </is>
      </c>
      <c r="F111" s="4" t="inlineStr">
        <is>
          <t>Certain</t>
        </is>
      </c>
      <c r="G111" s="4">
        <f>IF(ISNUMBER(SEARCH("Verify",F111)),"1 High",IF(ISNUMBER(SEARCH("Likely",F111)),"2 Medium","3 Low"))</f>
        <v/>
      </c>
      <c r="H111" s="8" t="n"/>
      <c r="I111" s="8" t="n"/>
      <c r="J111" s="8" t="n"/>
      <c r="K111" s="8" t="n"/>
      <c r="L111" s="8" t="n"/>
      <c r="M111" s="9" t="n"/>
    </row>
    <row r="112">
      <c r="A112" s="3" t="inlineStr">
        <is>
          <t>G-14</t>
        </is>
      </c>
      <c r="B112" s="4" t="inlineStr">
        <is>
          <t>Both</t>
        </is>
      </c>
      <c r="C112" s="4" t="inlineStr">
        <is>
          <t>Both</t>
        </is>
      </c>
      <c r="D112" s="4" t="inlineStr">
        <is>
          <t>PAN–Aadhaar linking</t>
        </is>
      </c>
      <c r="E112" s="4" t="inlineStr">
        <is>
          <t>A returning resident's PAN must be linked to Aadhaar or it becomes inoperative (higher TDS, refunds blocked). NRIs are exempt.</t>
        </is>
      </c>
      <c r="F112" s="4" t="inlineStr">
        <is>
          <t>Likely</t>
        </is>
      </c>
      <c r="G112" s="4">
        <f>IF(ISNUMBER(SEARCH("Verify",F112)),"1 High",IF(ISNUMBER(SEARCH("Likely",F112)),"2 Medium","3 Low"))</f>
        <v/>
      </c>
      <c r="H112" s="8" t="n"/>
      <c r="I112" s="8" t="n"/>
      <c r="J112" s="8" t="n"/>
      <c r="K112" s="8" t="n"/>
      <c r="L112" s="8" t="n"/>
      <c r="M112" s="9" t="n"/>
    </row>
    <row r="113">
      <c r="A113" s="3" t="inlineStr">
        <is>
          <t>G-15</t>
        </is>
      </c>
      <c r="B113" s="4" t="inlineStr">
        <is>
          <t>Both</t>
        </is>
      </c>
      <c r="C113" s="4" t="inlineStr">
        <is>
          <t>Both</t>
        </is>
      </c>
      <c r="D113" s="4" t="inlineStr">
        <is>
          <t>Residential status at banks, brokers, funds and the employer</t>
        </is>
      </c>
      <c r="E113" s="4" t="inlineStr">
        <is>
          <t>Until the status is updated, NR TDS (30%+) continues after the return, or resident TDS continues after leaving.</t>
        </is>
      </c>
      <c r="F113" s="4" t="inlineStr">
        <is>
          <t>Certain</t>
        </is>
      </c>
      <c r="G113" s="4">
        <f>IF(ISNUMBER(SEARCH("Verify",F113)),"1 High",IF(ISNUMBER(SEARCH("Likely",F113)),"2 Medium","3 Low"))</f>
        <v/>
      </c>
      <c r="H113" s="8" t="n"/>
      <c r="I113" s="8" t="n"/>
      <c r="J113" s="8" t="n"/>
      <c r="K113" s="8" t="n"/>
      <c r="L113" s="8" t="n"/>
      <c r="M113" s="9" t="n"/>
    </row>
    <row r="114">
      <c r="A114" s="3" t="inlineStr">
        <is>
          <t>G-16</t>
        </is>
      </c>
      <c r="B114" s="4" t="inlineStr">
        <is>
          <t>Both</t>
        </is>
      </c>
      <c r="C114" s="4" t="inlineStr">
        <is>
          <t>Both</t>
        </is>
      </c>
      <c r="D114" s="4" t="inlineStr">
        <is>
          <t>RNOR and "received in India"</t>
        </is>
      </c>
      <c r="E114" s="4" t="inlineStr">
        <is>
          <t>Foreign income first received in an Indian account is taxable even for an RNOR. Keep it outside India until it has been received abroad.</t>
        </is>
      </c>
      <c r="F114" s="4" t="inlineStr">
        <is>
          <t>Likely</t>
        </is>
      </c>
      <c r="G114" s="4">
        <f>IF(ISNUMBER(SEARCH("Verify",F114)),"1 High",IF(ISNUMBER(SEARCH("Likely",F114)),"2 Medium","3 Low"))</f>
        <v/>
      </c>
      <c r="H114" s="8" t="n"/>
      <c r="I114" s="8" t="n"/>
      <c r="J114" s="8" t="n"/>
      <c r="K114" s="8" t="n"/>
      <c r="L114" s="8" t="n"/>
      <c r="M114" s="9" t="n"/>
    </row>
    <row r="115">
      <c r="A115" s="3" t="inlineStr">
        <is>
          <t>G-17</t>
        </is>
      </c>
      <c r="B115" s="4" t="inlineStr">
        <is>
          <t>Both</t>
        </is>
      </c>
      <c r="C115" s="4" t="inlineStr">
        <is>
          <t>Both</t>
        </is>
      </c>
      <c r="D115" s="4" t="inlineStr">
        <is>
          <t>LRS and TCS after return</t>
        </is>
      </c>
      <c r="E115" s="4" t="inlineStr">
        <is>
          <t>Money sent to the US (investments, US mortgage payments, gifts) is LRS: capped at $250k per FY, with TCS (20% above ₹10L for most purposes, credited against tax).</t>
        </is>
      </c>
      <c r="F115" s="4" t="inlineStr">
        <is>
          <t>Likely (verify current rates)</t>
        </is>
      </c>
      <c r="G115" s="4">
        <f>IF(ISNUMBER(SEARCH("Verify",F115)),"1 High",IF(ISNUMBER(SEARCH("Likely",F115)),"2 Medium","3 Low"))</f>
        <v/>
      </c>
      <c r="H115" s="8" t="n"/>
      <c r="I115" s="8" t="n"/>
      <c r="J115" s="8" t="n"/>
      <c r="K115" s="8" t="n"/>
      <c r="L115" s="8" t="n"/>
      <c r="M115" s="9" t="n"/>
    </row>
    <row r="116">
      <c r="A116" s="3" t="inlineStr">
        <is>
          <t>G-18</t>
        </is>
      </c>
      <c r="B116" s="4" t="inlineStr">
        <is>
          <t>Both</t>
        </is>
      </c>
      <c r="C116" s="4" t="inlineStr">
        <is>
          <t>Both</t>
        </is>
      </c>
      <c r="D116" s="4" t="inlineStr">
        <is>
          <t>FEMA holding rules</t>
        </is>
      </c>
      <c r="E116" s="4" t="inlineStr">
        <is>
          <t>A returning resident may keep foreign assets acquired while non-resident (FEMA s.6(4)); new foreign investments go through LRS.</t>
        </is>
      </c>
      <c r="F116" s="4" t="inlineStr">
        <is>
          <t>Likely</t>
        </is>
      </c>
      <c r="G116" s="4">
        <f>IF(ISNUMBER(SEARCH("Verify",F116)),"1 High",IF(ISNUMBER(SEARCH("Likely",F116)),"2 Medium","3 Low"))</f>
        <v/>
      </c>
      <c r="H116" s="8" t="n"/>
      <c r="I116" s="8" t="n"/>
      <c r="J116" s="8" t="n"/>
      <c r="K116" s="8" t="n"/>
      <c r="L116" s="8" t="n"/>
      <c r="M116" s="9" t="n"/>
    </row>
    <row r="117">
      <c r="A117" s="3" t="inlineStr">
        <is>
          <t>G-19</t>
        </is>
      </c>
      <c r="B117" s="4" t="inlineStr">
        <is>
          <t>Both</t>
        </is>
      </c>
      <c r="C117" s="4" t="inlineStr">
        <is>
          <t>Both</t>
        </is>
      </c>
      <c r="D117" s="4" t="inlineStr">
        <is>
          <t>US brokers restricting India residents</t>
        </is>
      </c>
      <c r="E117" s="4" t="inlineStr">
        <is>
          <t>Many US brokers and fund houses close or restrict accounts once the address is in India.</t>
        </is>
      </c>
      <c r="F117" s="4" t="inlineStr">
        <is>
          <t>Likely</t>
        </is>
      </c>
      <c r="G117" s="4">
        <f>IF(ISNUMBER(SEARCH("Verify",F117)),"1 High",IF(ISNUMBER(SEARCH("Likely",F117)),"2 Medium","3 Low"))</f>
        <v/>
      </c>
      <c r="H117" s="8" t="n"/>
      <c r="I117" s="8" t="n"/>
      <c r="J117" s="8" t="n"/>
      <c r="K117" s="8" t="n"/>
      <c r="L117" s="8" t="n"/>
      <c r="M117" s="9" t="n"/>
    </row>
    <row r="118">
      <c r="A118" s="3" t="inlineStr">
        <is>
          <t>G-20</t>
        </is>
      </c>
      <c r="B118" s="4" t="inlineStr">
        <is>
          <t>Both</t>
        </is>
      </c>
      <c r="C118" s="4" t="inlineStr">
        <is>
          <t>Both</t>
        </is>
      </c>
      <c r="D118" s="4" t="inlineStr">
        <is>
          <t>No lot-level data for US holdings</t>
        </is>
      </c>
      <c r="E118" s="4" t="inlineStr">
        <is>
          <t>Once ROR, India taxes gains on US shares. Computing them needs each lot's purchase date and cost, converted to INR at the purchase-date rate.</t>
        </is>
      </c>
      <c r="F118" s="4" t="inlineStr">
        <is>
          <t>Certain</t>
        </is>
      </c>
      <c r="G118" s="4">
        <f>IF(ISNUMBER(SEARCH("Verify",F118)),"1 High",IF(ISNUMBER(SEARCH("Likely",F118)),"2 Medium","3 Low"))</f>
        <v/>
      </c>
      <c r="H118" s="8" t="n"/>
      <c r="I118" s="8" t="n"/>
      <c r="J118" s="8" t="n"/>
      <c r="K118" s="8" t="n"/>
      <c r="L118" s="8" t="n"/>
      <c r="M118" s="9" t="n"/>
    </row>
    <row r="119">
      <c r="A119" s="3" t="inlineStr">
        <is>
          <t>G-21</t>
        </is>
      </c>
      <c r="B119" s="4" t="inlineStr">
        <is>
          <t>Both</t>
        </is>
      </c>
      <c r="C119" s="4" t="inlineStr">
        <is>
          <t>Both</t>
        </is>
      </c>
      <c r="D119" s="4" t="inlineStr">
        <is>
          <t>Residency evidence</t>
        </is>
      </c>
      <c r="E119" s="4" t="inlineStr">
        <is>
          <t>I-94 travel history, passport stamps, lease, employment letter, I-407; boarding passes for India day counts.</t>
        </is>
      </c>
      <c r="F119" s="4" t="inlineStr">
        <is>
          <t>Certain</t>
        </is>
      </c>
      <c r="G119" s="4">
        <f>IF(ISNUMBER(SEARCH("Verify",F119)),"1 High",IF(ISNUMBER(SEARCH("Likely",F119)),"2 Medium","3 Low"))</f>
        <v/>
      </c>
      <c r="H119" s="8" t="n"/>
      <c r="I119" s="8" t="n"/>
      <c r="J119" s="8" t="n"/>
      <c r="K119" s="8" t="n"/>
      <c r="L119" s="8" t="n"/>
      <c r="M119" s="9" t="n"/>
    </row>
    <row r="120">
      <c r="A120" s="3" t="inlineStr">
        <is>
          <t>G-22</t>
        </is>
      </c>
      <c r="B120" s="4" t="inlineStr">
        <is>
          <t>Both</t>
        </is>
      </c>
      <c r="C120" s="4" t="inlineStr">
        <is>
          <t>Both</t>
        </is>
      </c>
      <c r="D120" s="4" t="inlineStr">
        <is>
          <t>Catch-up programmes</t>
        </is>
      </c>
      <c r="E120" s="4" t="inlineStr">
        <is>
          <t>US citizens or green-card holders in India who missed returns or FBARs: Streamlined Foreign Offshore Procedures. India: FAST-DS 2026 for missed Schedule FA (XB-21).</t>
        </is>
      </c>
      <c r="F120" s="4" t="inlineStr">
        <is>
          <t>Likely</t>
        </is>
      </c>
      <c r="G120" s="4">
        <f>IF(ISNUMBER(SEARCH("Verify",F120)),"1 High",IF(ISNUMBER(SEARCH("Likely",F120)),"2 Medium","3 Low"))</f>
        <v/>
      </c>
      <c r="H120" s="8" t="n"/>
      <c r="I120" s="8" t="n"/>
      <c r="J120" s="8" t="n"/>
      <c r="K120" s="8" t="n"/>
      <c r="L120" s="8" t="n"/>
      <c r="M120" s="9" t="n"/>
    </row>
    <row r="121">
      <c r="A121" s="3" t="inlineStr">
        <is>
          <t>G-23</t>
        </is>
      </c>
      <c r="B121" s="4" t="inlineStr">
        <is>
          <t>Both</t>
        </is>
      </c>
      <c r="C121" s="4" t="inlineStr">
        <is>
          <t>Both</t>
        </is>
      </c>
      <c r="D121" s="4" t="inlineStr">
        <is>
          <t>Exchange rates</t>
        </is>
      </c>
      <c r="E121" s="4" t="inlineStr">
        <is>
          <t>Exchange rates: India uses Rule 115 (SBI TT buying rate); the US uses yearly average or spot rates. The move year makes this harder because the two periods use different rates.</t>
        </is>
      </c>
      <c r="F121" s="4" t="inlineStr">
        <is>
          <t>Certain</t>
        </is>
      </c>
      <c r="G121" s="4">
        <f>IF(ISNUMBER(SEARCH("Verify",F121)),"1 High",IF(ISNUMBER(SEARCH("Likely",F121)),"2 Medium","3 Low"))</f>
        <v/>
      </c>
      <c r="H121" s="8" t="n"/>
      <c r="I121" s="8" t="n"/>
      <c r="J121" s="8" t="n"/>
      <c r="K121" s="8" t="n"/>
      <c r="L121" s="8" t="n"/>
      <c r="M121" s="9" t="n"/>
    </row>
    <row r="122">
      <c r="A122" s="3" t="inlineStr">
        <is>
          <t>G-24</t>
        </is>
      </c>
      <c r="B122" s="4" t="inlineStr">
        <is>
          <t>Both</t>
        </is>
      </c>
      <c r="C122" s="4" t="inlineStr">
        <is>
          <t>Both</t>
        </is>
      </c>
      <c r="D122" s="4" t="inlineStr">
        <is>
          <t>EPF withdrawal on leaving India</t>
        </is>
      </c>
      <c r="E122" s="4" t="inlineStr">
        <is>
          <t>Taxable in India if under 5 years of continuous service (TDS). Taxable in the US if withdrawn while resident.</t>
        </is>
      </c>
      <c r="F122" s="4" t="inlineStr">
        <is>
          <t>Likely</t>
        </is>
      </c>
      <c r="G122" s="4">
        <f>IF(ISNUMBER(SEARCH("Verify",F122)),"1 High",IF(ISNUMBER(SEARCH("Likely",F122)),"2 Medium","3 Low"))</f>
        <v/>
      </c>
      <c r="H122" s="8" t="n"/>
      <c r="I122" s="8" t="n"/>
      <c r="J122" s="8" t="n"/>
      <c r="K122" s="8" t="n"/>
      <c r="L122" s="8" t="n"/>
      <c r="M122" s="9" t="n"/>
    </row>
    <row r="123">
      <c r="A123" s="3" t="inlineStr">
        <is>
          <t>G-25</t>
        </is>
      </c>
      <c r="B123" s="4" t="inlineStr">
        <is>
          <t>Both</t>
        </is>
      </c>
      <c r="C123" s="4" t="inlineStr">
        <is>
          <t>Both</t>
        </is>
      </c>
      <c r="D123" s="4" t="inlineStr">
        <is>
          <t>Social Security</t>
        </is>
      </c>
      <c r="E123" s="4" t="inlineStr">
        <is>
          <t>No India–US social-security agreement. US benefits need 40 credits, so a returnee short of 40 gets nothing. Tax on benefits paid to India residents is open question Q-5.</t>
        </is>
      </c>
      <c r="F123" s="4" t="inlineStr">
        <is>
          <t>Certain / Verify</t>
        </is>
      </c>
      <c r="G123" s="4">
        <f>IF(ISNUMBER(SEARCH("Verify",F123)),"1 High",IF(ISNUMBER(SEARCH("Likely",F123)),"2 Medium","3 Low"))</f>
        <v/>
      </c>
      <c r="H123" s="8" t="n"/>
      <c r="I123" s="8" t="n"/>
      <c r="J123" s="8" t="n"/>
      <c r="K123" s="8" t="n"/>
      <c r="L123" s="8" t="n"/>
      <c r="M123" s="9" t="n"/>
    </row>
    <row r="124">
      <c r="A124" s="3" t="inlineStr">
        <is>
          <t>G-26</t>
        </is>
      </c>
      <c r="B124" s="4" t="inlineStr">
        <is>
          <t>Both</t>
        </is>
      </c>
      <c r="C124" s="4" t="inlineStr">
        <is>
          <t>Both</t>
        </is>
      </c>
      <c r="D124" s="4" t="inlineStr">
        <is>
          <t>Health cover</t>
        </is>
      </c>
      <c r="E124" s="4" t="inlineStr">
        <is>
          <t>The ACA premium tax credit is unavailable in the nonresident period; HSA as in A-US-11.</t>
        </is>
      </c>
      <c r="F124" s="4" t="inlineStr">
        <is>
          <t>Likely</t>
        </is>
      </c>
      <c r="G124" s="4">
        <f>IF(ISNUMBER(SEARCH("Verify",F124)),"1 High",IF(ISNUMBER(SEARCH("Likely",F124)),"2 Medium","3 Low"))</f>
        <v/>
      </c>
      <c r="H124" s="8" t="n"/>
      <c r="I124" s="8" t="n"/>
      <c r="J124" s="8" t="n"/>
      <c r="K124" s="8" t="n"/>
      <c r="L124" s="8" t="n"/>
      <c r="M124" s="9" t="n"/>
    </row>
    <row r="125">
      <c r="A125" s="3" t="inlineStr">
        <is>
          <t>RA-1</t>
        </is>
      </c>
      <c r="B125" s="4" t="inlineStr">
        <is>
          <t>Both</t>
        </is>
      </c>
      <c r="C125" s="4" t="inlineStr">
        <is>
          <t>Both</t>
        </is>
      </c>
      <c r="D125" s="4" t="inlineStr">
        <is>
          <t>US account: 401(k) / 403(b) (pre-tax)</t>
        </is>
      </c>
      <c r="E125" s="4" t="inlineStr">
        <is>
          <t>Contributions after moving: Stop when US employment ends. | US withdrawals: Resident: graduated tax + §72(t) under 59½. Non-resident: periodic payments exempt under Art. 20(1); lump sum 30% + §72(t). | India: RNOR: not taxed if received outside India. ROR: taxed; the s.89A/158 deferral (Form 40) is available for "specified accounts". | What to do: W1: keep in the plan, roll to an IRA (tax-free), or cash out. Check the plan and IRA provider accept an Indian address. Employer stock in the plan: the NUA option (gain taxed as capital gain). Loan outstanding: L-5. W2: lump sums cost 30% US with no India tax; periodic (SEPP) payments may be untaxed in both — flagged for specialist judgement. W3: file Form 40 by the return due date.</t>
        </is>
      </c>
      <c r="F125" s="4" t="inlineStr">
        <is>
          <t>Certain (US) / Likely (India)</t>
        </is>
      </c>
      <c r="G125" s="4">
        <f>IF(ISNUMBER(SEARCH("Verify",F125)),"1 High",IF(ISNUMBER(SEARCH("Likely",F125)),"2 Medium","3 Low"))</f>
        <v/>
      </c>
      <c r="H125" s="8" t="n"/>
      <c r="I125" s="8" t="n"/>
      <c r="J125" s="8" t="n"/>
      <c r="K125" s="8" t="n"/>
      <c r="L125" s="8" t="n"/>
      <c r="M125" s="9" t="n"/>
    </row>
    <row r="126">
      <c r="A126" s="3" t="inlineStr">
        <is>
          <t>RA-2</t>
        </is>
      </c>
      <c r="B126" s="4" t="inlineStr">
        <is>
          <t>Both</t>
        </is>
      </c>
      <c r="C126" s="4" t="inlineStr">
        <is>
          <t>Both</t>
        </is>
      </c>
      <c r="D126" s="4" t="inlineStr">
        <is>
          <t>US account: 457(b)</t>
        </is>
      </c>
      <c r="E126" s="4" t="inlineStr">
        <is>
          <t>Contributions after moving: As above. | US withdrawals: Governmental 457(b): no §72(t). Non-governmental: unfunded, paid out on leaving per plan terms. | India: As above. | What to do: Check the payout election before leaving; a non-governmental 457(b) can force a lump sum.</t>
        </is>
      </c>
      <c r="F126" s="4" t="inlineStr">
        <is>
          <t>Certain</t>
        </is>
      </c>
      <c r="G126" s="4">
        <f>IF(ISNUMBER(SEARCH("Verify",F126)),"1 High",IF(ISNUMBER(SEARCH("Likely",F126)),"2 Medium","3 Low"))</f>
        <v/>
      </c>
      <c r="H126" s="8" t="n"/>
      <c r="I126" s="8" t="n"/>
      <c r="J126" s="8" t="n"/>
      <c r="K126" s="8" t="n"/>
      <c r="L126" s="8" t="n"/>
      <c r="M126" s="9" t="n"/>
    </row>
    <row r="127">
      <c r="A127" s="3" t="inlineStr">
        <is>
          <t>RA-3</t>
        </is>
      </c>
      <c r="B127" s="4" t="inlineStr">
        <is>
          <t>Both</t>
        </is>
      </c>
      <c r="C127" s="4" t="inlineStr">
        <is>
          <t>Both</t>
        </is>
      </c>
      <c r="D127" s="4" t="inlineStr">
        <is>
          <t>US account: Traditional IRA</t>
        </is>
      </c>
      <c r="E127" s="4" t="inlineStr">
        <is>
          <t>Contributions after moving: Needs US taxable compensation; FEIE-excluded pay doesn't count. Usually stops after return. | US withdrawals: As 401(k). After-tax basis (Form 8606) comes out tax-free — needs the basis on file. | India: As 401(k); Form 40 deferral covers it. | What to do: W1: decide on Roth conversion (see Roth). Record the 8606 basis. W2: as 401(k).</t>
        </is>
      </c>
      <c r="F127" s="4" t="inlineStr">
        <is>
          <t>Certain / Likely</t>
        </is>
      </c>
      <c r="G127" s="4">
        <f>IF(ISNUMBER(SEARCH("Verify",F127)),"1 High",IF(ISNUMBER(SEARCH("Likely",F127)),"2 Medium","3 Low"))</f>
        <v/>
      </c>
      <c r="H127" s="8" t="n"/>
      <c r="I127" s="8" t="n"/>
      <c r="J127" s="8" t="n"/>
      <c r="K127" s="8" t="n"/>
      <c r="L127" s="8" t="n"/>
      <c r="M127" s="9" t="n"/>
    </row>
    <row r="128">
      <c r="A128" s="3" t="inlineStr">
        <is>
          <t>RA-4</t>
        </is>
      </c>
      <c r="B128" s="4" t="inlineStr">
        <is>
          <t>Both</t>
        </is>
      </c>
      <c r="C128" s="4" t="inlineStr">
        <is>
          <t>Both</t>
        </is>
      </c>
      <c r="D128" s="4" t="inlineStr">
        <is>
          <t>US account: SEP / SIMPLE IRA</t>
        </is>
      </c>
      <c r="E128" s="4" t="inlineStr">
        <is>
          <t>Contributions after moving: Stop with the business or employer. | US withdrawals: As IRA, except SIMPLE: 25% penalty within 2 years of first participation. | India: As IRA. | What to do: Check the SIMPLE start date before any withdrawal or rollover.</t>
        </is>
      </c>
      <c r="F128" s="4" t="inlineStr">
        <is>
          <t>Certain</t>
        </is>
      </c>
      <c r="G128" s="4">
        <f>IF(ISNUMBER(SEARCH("Verify",F128)),"1 High",IF(ISNUMBER(SEARCH("Likely",F128)),"2 Medium","3 Low"))</f>
        <v/>
      </c>
      <c r="H128" s="8" t="n"/>
      <c r="I128" s="8" t="n"/>
      <c r="J128" s="8" t="n"/>
      <c r="K128" s="8" t="n"/>
      <c r="L128" s="8" t="n"/>
      <c r="M128" s="9" t="n"/>
    </row>
    <row r="129">
      <c r="A129" s="3" t="inlineStr">
        <is>
          <t>RA-5</t>
        </is>
      </c>
      <c r="B129" s="4" t="inlineStr">
        <is>
          <t>Both</t>
        </is>
      </c>
      <c r="C129" s="4" t="inlineStr">
        <is>
          <t>Both</t>
        </is>
      </c>
      <c r="D129" s="4" t="inlineStr">
        <is>
          <t>US account: Roth IRA / Roth 401(k)</t>
        </is>
      </c>
      <c r="E129" s="4" t="inlineStr">
        <is>
          <t>Contributions after moving: Roth IRA needs compensation and income under the limit. | US withdrawals: Qualified withdrawals tax-free (5-year rule and 59½). | India: India doesn't recognise Roth. ROR: growth or withdrawals may be taxed. The Form 40 deferral likely doesn't fit, because the US never taxes the withdrawal. | What to do: W1: Roth conversion while a US resident (graduated rates). W2: a conversion is probably 30% US tax and untaxed in India — compare. W3: consider withdrawing contributions before ROR. Roll a Roth 401(k) into a Roth IRA before leaving.</t>
        </is>
      </c>
      <c r="F129" s="4" t="inlineStr">
        <is>
          <t>Certain (US) / Verify (India)</t>
        </is>
      </c>
      <c r="G129" s="4">
        <f>IF(ISNUMBER(SEARCH("Verify",F129)),"1 High",IF(ISNUMBER(SEARCH("Likely",F129)),"2 Medium","3 Low"))</f>
        <v/>
      </c>
      <c r="H129" s="8" t="n"/>
      <c r="I129" s="8" t="n"/>
      <c r="J129" s="8" t="n"/>
      <c r="K129" s="8" t="n"/>
      <c r="L129" s="8" t="n"/>
      <c r="M129" s="9" t="n"/>
    </row>
    <row r="130">
      <c r="A130" s="3" t="inlineStr">
        <is>
          <t>RA-6</t>
        </is>
      </c>
      <c r="B130" s="4" t="inlineStr">
        <is>
          <t>Both</t>
        </is>
      </c>
      <c r="C130" s="4" t="inlineStr">
        <is>
          <t>Both</t>
        </is>
      </c>
      <c r="D130" s="4" t="inlineStr">
        <is>
          <t>US account: Inherited IRA</t>
        </is>
      </c>
      <c r="E130" s="4" t="inlineStr">
        <is>
          <t>Contributions after moving: — | US withdrawals: 10-year rule (SECURE Act); non-resident beneficiary 30% withholding. | India: As above. | What to do: Plan the 10-year schedule across the windows.</t>
        </is>
      </c>
      <c r="F130" s="4" t="inlineStr">
        <is>
          <t>Certain</t>
        </is>
      </c>
      <c r="G130" s="4">
        <f>IF(ISNUMBER(SEARCH("Verify",F130)),"1 High",IF(ISNUMBER(SEARCH("Likely",F130)),"2 Medium","3 Low"))</f>
        <v/>
      </c>
      <c r="H130" s="8" t="n"/>
      <c r="I130" s="8" t="n"/>
      <c r="J130" s="8" t="n"/>
      <c r="K130" s="8" t="n"/>
      <c r="L130" s="8" t="n"/>
      <c r="M130" s="9" t="n"/>
    </row>
    <row r="131">
      <c r="A131" s="3" t="inlineStr">
        <is>
          <t>RA-7</t>
        </is>
      </c>
      <c r="B131" s="4" t="inlineStr">
        <is>
          <t>Both</t>
        </is>
      </c>
      <c r="C131" s="4" t="inlineStr">
        <is>
          <t>Both</t>
        </is>
      </c>
      <c r="D131" s="4" t="inlineStr">
        <is>
          <t>US account: Defined-benefit pension</t>
        </is>
      </c>
      <c r="E131" s="4" t="inlineStr">
        <is>
          <t>Contributions after moving: — | US withdrawals: Annuity = periodic (Art. 20); lump sum taxed 30% as non-resident. | India: Periodic: India taxes as resident (RNOR: only if received in India). | What to do: Choose annuity or lump sum before leaving; the choice fixes the treaty treatment.</t>
        </is>
      </c>
      <c r="F131" s="4" t="inlineStr">
        <is>
          <t>Likely</t>
        </is>
      </c>
      <c r="G131" s="4">
        <f>IF(ISNUMBER(SEARCH("Verify",F131)),"1 High",IF(ISNUMBER(SEARCH("Likely",F131)),"2 Medium","3 Low"))</f>
        <v/>
      </c>
      <c r="H131" s="8" t="n"/>
      <c r="I131" s="8" t="n"/>
      <c r="J131" s="8" t="n"/>
      <c r="K131" s="8" t="n"/>
      <c r="L131" s="8" t="n"/>
      <c r="M131" s="9" t="n"/>
    </row>
    <row r="132">
      <c r="A132" s="3" t="inlineStr">
        <is>
          <t>RA-8</t>
        </is>
      </c>
      <c r="B132" s="4" t="inlineStr">
        <is>
          <t>Both</t>
        </is>
      </c>
      <c r="C132" s="4" t="inlineStr">
        <is>
          <t>Both</t>
        </is>
      </c>
      <c r="D132" s="4" t="inlineStr">
        <is>
          <t>US account: Non-qualified deferred comp (409A)</t>
        </is>
      </c>
      <c r="E132" s="4" t="inlineStr">
        <is>
          <t>Contributions after moving: — | US withdrawals: Paid on separation; US-source by US workdays; stays US-taxed. Former state can't tax if paid over 10+ years (4 U.S.C. §114). | India: Taxed by India as salary when received, with credit. | What to do: Check the payment schedule; 409A elections can't be changed late.</t>
        </is>
      </c>
      <c r="F132" s="4" t="inlineStr">
        <is>
          <t>Likely</t>
        </is>
      </c>
      <c r="G132" s="4">
        <f>IF(ISNUMBER(SEARCH("Verify",F132)),"1 High",IF(ISNUMBER(SEARCH("Likely",F132)),"2 Medium","3 Low"))</f>
        <v/>
      </c>
      <c r="H132" s="8" t="n"/>
      <c r="I132" s="8" t="n"/>
      <c r="J132" s="8" t="n"/>
      <c r="K132" s="8" t="n"/>
      <c r="L132" s="8" t="n"/>
      <c r="M132" s="9" t="n"/>
    </row>
    <row r="133">
      <c r="A133" s="3" t="inlineStr">
        <is>
          <t>RA-9</t>
        </is>
      </c>
      <c r="B133" s="4" t="inlineStr">
        <is>
          <t>Both</t>
        </is>
      </c>
      <c r="C133" s="4" t="inlineStr">
        <is>
          <t>Both</t>
        </is>
      </c>
      <c r="D133" s="4" t="inlineStr">
        <is>
          <t>US account: HSA</t>
        </is>
      </c>
      <c r="E133" s="4" t="inlineStr">
        <is>
          <t>Contributions after moving: Stops once US high-deductible cover ends. Indian insurance doesn't qualify. | US withdrawals: Medical spending tax-free, including medical care abroad; other spending taxed + 20% before 65. California and New Jersey tax HSAs as ordinary accounts. | India: Not recognised. ROR: growth likely taxable; no Form 40 relief. | What to do: W1: spend down on qualified US medical costs or keep for later medical bills. W3: report on Schedule FA.</t>
        </is>
      </c>
      <c r="F133" s="4" t="inlineStr">
        <is>
          <t>Certain (US) / Verify (India)</t>
        </is>
      </c>
      <c r="G133" s="4">
        <f>IF(ISNUMBER(SEARCH("Verify",F133)),"1 High",IF(ISNUMBER(SEARCH("Likely",F133)),"2 Medium","3 Low"))</f>
        <v/>
      </c>
      <c r="H133" s="8" t="n"/>
      <c r="I133" s="8" t="n"/>
      <c r="J133" s="8" t="n"/>
      <c r="K133" s="8" t="n"/>
      <c r="L133" s="8" t="n"/>
      <c r="M133" s="9" t="n"/>
    </row>
    <row r="134">
      <c r="A134" s="3" t="inlineStr">
        <is>
          <t>RA-10</t>
        </is>
      </c>
      <c r="B134" s="4" t="inlineStr">
        <is>
          <t>Both</t>
        </is>
      </c>
      <c r="C134" s="4" t="inlineStr">
        <is>
          <t>Both</t>
        </is>
      </c>
      <c r="D134" s="4" t="inlineStr">
        <is>
          <t>US account: Health FSA / dependent-care FSA</t>
        </is>
      </c>
      <c r="E134" s="4" t="inlineStr">
        <is>
          <t>Contributions after moving: Ends with US employment. | US withdrawals: Use it or lose it at separation. | India: — | What to do: Spend the balance before the last working day.</t>
        </is>
      </c>
      <c r="F134" s="4" t="inlineStr">
        <is>
          <t>Certain</t>
        </is>
      </c>
      <c r="G134" s="4">
        <f>IF(ISNUMBER(SEARCH("Verify",F134)),"1 High",IF(ISNUMBER(SEARCH("Likely",F134)),"2 Medium","3 Low"))</f>
        <v/>
      </c>
      <c r="H134" s="8" t="n"/>
      <c r="I134" s="8" t="n"/>
      <c r="J134" s="8" t="n"/>
      <c r="K134" s="8" t="n"/>
      <c r="L134" s="8" t="n"/>
      <c r="M134" s="9" t="n"/>
    </row>
    <row r="135">
      <c r="A135" s="3" t="inlineStr">
        <is>
          <t>RA-11</t>
        </is>
      </c>
      <c r="B135" s="4" t="inlineStr">
        <is>
          <t>Both</t>
        </is>
      </c>
      <c r="C135" s="4" t="inlineStr">
        <is>
          <t>Both</t>
        </is>
      </c>
      <c r="D135" s="4" t="inlineStr">
        <is>
          <t>US account: 529 plan</t>
        </is>
      </c>
      <c r="E135" s="4" t="inlineStr">
        <is>
          <t>Contributions after moving: Gift-tax rules apply. | US withdrawals: Qualified education costs tax-free, including eligible foreign universities (some Indian institutions qualify). Non-qualified: tax + 10%. Up to $35k can roll into the beneficiary's Roth IRA after 15 years. | India: Not recognised; growth likely taxable for ROR. | What to do: Keep if a child may study in the US or at an eligible institution; otherwise plan withdrawals.</t>
        </is>
      </c>
      <c r="F135" s="4" t="inlineStr">
        <is>
          <t>Certain (US) / Verify (India)</t>
        </is>
      </c>
      <c r="G135" s="4">
        <f>IF(ISNUMBER(SEARCH("Verify",F135)),"1 High",IF(ISNUMBER(SEARCH("Likely",F135)),"2 Medium","3 Low"))</f>
        <v/>
      </c>
      <c r="H135" s="8" t="n"/>
      <c r="I135" s="8" t="n"/>
      <c r="J135" s="8" t="n"/>
      <c r="K135" s="8" t="n"/>
      <c r="L135" s="8" t="n"/>
      <c r="M135" s="9" t="n"/>
    </row>
    <row r="136">
      <c r="A136" s="3" t="inlineStr">
        <is>
          <t>RA-12</t>
        </is>
      </c>
      <c r="B136" s="4" t="inlineStr">
        <is>
          <t>Both</t>
        </is>
      </c>
      <c r="C136" s="4" t="inlineStr">
        <is>
          <t>Both</t>
        </is>
      </c>
      <c r="D136" s="4" t="inlineStr">
        <is>
          <t>US account: Trump account (§530A)</t>
        </is>
      </c>
      <c r="E136" s="4" t="inlineStr">
        <is>
          <t>Contributions after moving: For US-citizen children. | US withdrawals: As per §530A. | India: Not recognised. | What to do: Disclosure for US-citizen children (G-4).</t>
        </is>
      </c>
      <c r="F136" s="4" t="inlineStr">
        <is>
          <t>Verify</t>
        </is>
      </c>
      <c r="G136" s="4">
        <f>IF(ISNUMBER(SEARCH("Verify",F136)),"1 High",IF(ISNUMBER(SEARCH("Likely",F136)),"2 Medium","3 Low"))</f>
        <v/>
      </c>
      <c r="H136" s="8" t="n"/>
      <c r="I136" s="8" t="n"/>
      <c r="J136" s="8" t="n"/>
      <c r="K136" s="8" t="n"/>
      <c r="L136" s="8" t="n"/>
      <c r="M136" s="9" t="n"/>
    </row>
    <row r="137">
      <c r="A137" s="3" t="inlineStr">
        <is>
          <t>RA-13</t>
        </is>
      </c>
      <c r="B137" s="4" t="inlineStr">
        <is>
          <t>Both</t>
        </is>
      </c>
      <c r="C137" s="4" t="inlineStr">
        <is>
          <t>Both</t>
        </is>
      </c>
      <c r="D137" s="4" t="inlineStr">
        <is>
          <t>US account: Annuities (non-qualified)</t>
        </is>
      </c>
      <c r="E137" s="4" t="inlineStr">
        <is>
          <t>Contributions after moving: — | US withdrawals: Gain taxed on withdrawal; non-resident withholding. | India: ROR: taxed. | What to do: Disclosure.</t>
        </is>
      </c>
      <c r="F137" s="4" t="inlineStr">
        <is>
          <t>Likely</t>
        </is>
      </c>
      <c r="G137" s="4">
        <f>IF(ISNUMBER(SEARCH("Verify",F137)),"1 High",IF(ISNUMBER(SEARCH("Likely",F137)),"2 Medium","3 Low"))</f>
        <v/>
      </c>
      <c r="H137" s="8" t="n"/>
      <c r="I137" s="8" t="n"/>
      <c r="J137" s="8" t="n"/>
      <c r="K137" s="8" t="n"/>
      <c r="L137" s="8" t="n"/>
      <c r="M137" s="9" t="n"/>
    </row>
    <row r="138">
      <c r="A138" s="3" t="inlineStr">
        <is>
          <t>RA-14</t>
        </is>
      </c>
      <c r="B138" s="4" t="inlineStr">
        <is>
          <t>Both</t>
        </is>
      </c>
      <c r="C138" s="4" t="inlineStr">
        <is>
          <t>Both</t>
        </is>
      </c>
      <c r="D138" s="4" t="inlineStr">
        <is>
          <t>US account: US Social Security</t>
        </is>
      </c>
      <c r="E138" s="4" t="inlineStr">
        <is>
          <t>Contributions after moving: No India–US social-security agreement. | US withdrawals: Taxed as in open question Q-5. | India: As in open question Q-5. | What to do: Check 40 credits are earned before leaving (G-25). Medicare Part B late-enrolment penalty for those near 65.</t>
        </is>
      </c>
      <c r="F138" s="4" t="inlineStr">
        <is>
          <t>Certain / Verify</t>
        </is>
      </c>
      <c r="G138" s="4">
        <f>IF(ISNUMBER(SEARCH("Verify",F138)),"1 High",IF(ISNUMBER(SEARCH("Likely",F138)),"2 Medium","3 Low"))</f>
        <v/>
      </c>
      <c r="H138" s="8" t="n"/>
      <c r="I138" s="8" t="n"/>
      <c r="J138" s="8" t="n"/>
      <c r="K138" s="8" t="n"/>
      <c r="L138" s="8" t="n"/>
      <c r="M138" s="9" t="n"/>
    </row>
    <row r="139">
      <c r="A139" s="3" t="inlineStr">
        <is>
          <t>IA-1</t>
        </is>
      </c>
      <c r="B139" s="4" t="inlineStr">
        <is>
          <t>Moving to the US</t>
        </is>
      </c>
      <c r="C139" s="4" t="inlineStr">
        <is>
          <t>Both</t>
        </is>
      </c>
      <c r="D139" s="4" t="inlineStr">
        <is>
          <t>Indian account: EPF / VPF</t>
        </is>
      </c>
      <c r="E139" s="4" t="inlineStr">
        <is>
          <t>On becoming NR in India: Can stay; interest keeps accruing. It becomes taxable in India after 3 years without contributions. Withdrawal under 5 years of service: taxable, with TDS. | US once resident: Growth and employer contributions possibly taxed yearly; classification disputed. Form 8938 / FBAR. | What to do: Decide: withdraw before arriving (India tax only) or keep.</t>
        </is>
      </c>
      <c r="F139" s="4" t="inlineStr">
        <is>
          <t>Likely / Verify</t>
        </is>
      </c>
      <c r="G139" s="4">
        <f>IF(ISNUMBER(SEARCH("Verify",F139)),"1 High",IF(ISNUMBER(SEARCH("Likely",F139)),"2 Medium","3 Low"))</f>
        <v/>
      </c>
      <c r="H139" s="8" t="n"/>
      <c r="I139" s="8" t="n"/>
      <c r="J139" s="8" t="n"/>
      <c r="K139" s="8" t="n"/>
      <c r="L139" s="8" t="n"/>
      <c r="M139" s="9" t="n"/>
    </row>
    <row r="140">
      <c r="A140" s="3" t="inlineStr">
        <is>
          <t>IA-2</t>
        </is>
      </c>
      <c r="B140" s="4" t="inlineStr">
        <is>
          <t>Moving to the US</t>
        </is>
      </c>
      <c r="C140" s="4" t="inlineStr">
        <is>
          <t>Both</t>
        </is>
      </c>
      <c r="D140" s="4" t="inlineStr">
        <is>
          <t>Indian account: PPF</t>
        </is>
      </c>
      <c r="E140" s="4" t="inlineStr">
        <is>
          <t>On becoming NR in India: NRI can't open; existing account continues to maturity, no extension. Recent rule changes on interest for NRIs. | US once resident: Interest taxable in US yearly (exempt in India, so no credit). Reportable. | What to do: Decide whether to close at maturity; check the current NRI interest rule.</t>
        </is>
      </c>
      <c r="F140" s="4" t="inlineStr">
        <is>
          <t>Verify</t>
        </is>
      </c>
      <c r="G140" s="4">
        <f>IF(ISNUMBER(SEARCH("Verify",F140)),"1 High",IF(ISNUMBER(SEARCH("Likely",F140)),"2 Medium","3 Low"))</f>
        <v/>
      </c>
      <c r="H140" s="8" t="n"/>
      <c r="I140" s="8" t="n"/>
      <c r="J140" s="8" t="n"/>
      <c r="K140" s="8" t="n"/>
      <c r="L140" s="8" t="n"/>
      <c r="M140" s="9" t="n"/>
    </row>
    <row r="141">
      <c r="A141" s="3" t="inlineStr">
        <is>
          <t>IA-3</t>
        </is>
      </c>
      <c r="B141" s="4" t="inlineStr">
        <is>
          <t>Moving to the US</t>
        </is>
      </c>
      <c r="C141" s="4" t="inlineStr">
        <is>
          <t>Both</t>
        </is>
      </c>
      <c r="D141" s="4" t="inlineStr">
        <is>
          <t>Indian account: NPS</t>
        </is>
      </c>
      <c r="E141" s="4" t="inlineStr">
        <is>
          <t>On becoming NR in India: NRI can continue; OCI eligibility to confirm. | US once resident: Growth possibly taxable; reportable. | What to do: Keep or exit per NPS rules.</t>
        </is>
      </c>
      <c r="F141" s="4" t="inlineStr">
        <is>
          <t>Verify</t>
        </is>
      </c>
      <c r="G141" s="4">
        <f>IF(ISNUMBER(SEARCH("Verify",F141)),"1 High",IF(ISNUMBER(SEARCH("Likely",F141)),"2 Medium","3 Low"))</f>
        <v/>
      </c>
      <c r="H141" s="8" t="n"/>
      <c r="I141" s="8" t="n"/>
      <c r="J141" s="8" t="n"/>
      <c r="K141" s="8" t="n"/>
      <c r="L141" s="8" t="n"/>
      <c r="M141" s="9" t="n"/>
    </row>
    <row r="142">
      <c r="A142" s="3" t="inlineStr">
        <is>
          <t>IA-4</t>
        </is>
      </c>
      <c r="B142" s="4" t="inlineStr">
        <is>
          <t>Moving to the US</t>
        </is>
      </c>
      <c r="C142" s="4" t="inlineStr">
        <is>
          <t>Both</t>
        </is>
      </c>
      <c r="D142" s="4" t="inlineStr">
        <is>
          <t>Indian account: SCSS / Sukanya Samriddhi / NSC</t>
        </is>
      </c>
      <c r="E142" s="4" t="inlineStr">
        <is>
          <t>On becoming NR in India: SCSS and Sukanya have NRI restrictions (closure or no extension). NSC: hold to maturity. | US once resident: Interest taxable in US. | What to do: Check each scheme's NRI rule before leaving.</t>
        </is>
      </c>
      <c r="F142" s="4" t="inlineStr">
        <is>
          <t>Verify</t>
        </is>
      </c>
      <c r="G142" s="4">
        <f>IF(ISNUMBER(SEARCH("Verify",F142)),"1 High",IF(ISNUMBER(SEARCH("Likely",F142)),"2 Medium","3 Low"))</f>
        <v/>
      </c>
      <c r="H142" s="8" t="n"/>
      <c r="I142" s="8" t="n"/>
      <c r="J142" s="8" t="n"/>
      <c r="K142" s="8" t="n"/>
      <c r="L142" s="8" t="n"/>
      <c r="M142" s="9" t="n"/>
    </row>
    <row r="143">
      <c r="A143" s="3" t="inlineStr">
        <is>
          <t>IA-5</t>
        </is>
      </c>
      <c r="B143" s="4" t="inlineStr">
        <is>
          <t>Moving to the US</t>
        </is>
      </c>
      <c r="C143" s="4" t="inlineStr">
        <is>
          <t>Both</t>
        </is>
      </c>
      <c r="D143" s="4" t="inlineStr">
        <is>
          <t>Indian account: Superannuation / gratuity</t>
        </is>
      </c>
      <c r="E143" s="4" t="inlineStr">
        <is>
          <t>On becoming NR in India: Gratuity as B-IN-5. | US once resident: Taxable if received while US resident. | What to do: Take before arriving where possible.</t>
        </is>
      </c>
      <c r="F143" s="4" t="inlineStr">
        <is>
          <t>Likely</t>
        </is>
      </c>
      <c r="G143" s="4">
        <f>IF(ISNUMBER(SEARCH("Verify",F143)),"1 High",IF(ISNUMBER(SEARCH("Likely",F143)),"2 Medium","3 Low"))</f>
        <v/>
      </c>
      <c r="H143" s="8" t="n"/>
      <c r="I143" s="8" t="n"/>
      <c r="J143" s="8" t="n"/>
      <c r="K143" s="8" t="n"/>
      <c r="L143" s="8" t="n"/>
      <c r="M143" s="9" t="n"/>
    </row>
    <row r="144">
      <c r="A144" s="3" t="inlineStr">
        <is>
          <t>IA-6</t>
        </is>
      </c>
      <c r="B144" s="4" t="inlineStr">
        <is>
          <t>Moving to the US</t>
        </is>
      </c>
      <c r="C144" s="4" t="inlineStr">
        <is>
          <t>Both</t>
        </is>
      </c>
      <c r="D144" s="4" t="inlineStr">
        <is>
          <t>Indian account: Atal Pension Yojana</t>
        </is>
      </c>
      <c r="E144" s="4" t="inlineStr">
        <is>
          <t>On becoming NR in India: Not open to NRIs. | US once resident: — | What to do: Close or note.</t>
        </is>
      </c>
      <c r="F144" s="4" t="inlineStr">
        <is>
          <t>Likely</t>
        </is>
      </c>
      <c r="G144" s="4">
        <f>IF(ISNUMBER(SEARCH("Verify",F144)),"1 High",IF(ISNUMBER(SEARCH("Likely",F144)),"2 Medium","3 Low"))</f>
        <v/>
      </c>
      <c r="H144" s="8" t="n"/>
      <c r="I144" s="8" t="n"/>
      <c r="J144" s="8" t="n"/>
      <c r="K144" s="8" t="n"/>
      <c r="L144" s="8" t="n"/>
      <c r="M144" s="9" t="n"/>
    </row>
    <row r="145">
      <c r="A145" s="3" t="inlineStr">
        <is>
          <t>DG-1</t>
        </is>
      </c>
      <c r="B145" s="4" t="inlineStr">
        <is>
          <t>Both</t>
        </is>
      </c>
      <c r="C145" s="4" t="inlineStr">
        <is>
          <t>Both</t>
        </is>
      </c>
      <c r="D145" s="4" t="inlineStr">
        <is>
          <t>US home — options: Sell in W1 · sell in W2 · keep and rent</t>
        </is>
      </c>
      <c r="E145" s="4" t="inlineStr">
        <is>
          <t>Sell in W1: §121 (up to $250k/$500k), India NR so no India tax. Sell in W2: §121 still available within 3 years of moving out; FIRPTA 15% withholding (refund via 1040-NR); state tax and withholding; India RNOR not taxed if proceeds stay abroad. Keep and rent: §871(d) net-basis election each year, depreciation, recapture on sale, §121 shrinks, India taxes rent and gain once ROR. Mortgage: L-2.</t>
        </is>
      </c>
      <c r="F145" s="4" t="inlineStr">
        <is>
          <t>Certain / Likely</t>
        </is>
      </c>
      <c r="G145" s="4">
        <f>IF(ISNUMBER(SEARCH("Verify",F145)),"1 High",IF(ISNUMBER(SEARCH("Likely",F145)),"2 Medium","3 Low"))</f>
        <v/>
      </c>
      <c r="H145" s="8" t="n"/>
      <c r="I145" s="8" t="n"/>
      <c r="J145" s="8" t="n"/>
      <c r="K145" s="8" t="n"/>
      <c r="L145" s="8" t="n"/>
      <c r="M145" s="9" t="n"/>
    </row>
    <row r="146">
      <c r="A146" s="3" t="inlineStr">
        <is>
          <t>DG-2</t>
        </is>
      </c>
      <c r="B146" s="4" t="inlineStr">
        <is>
          <t>Both</t>
        </is>
      </c>
      <c r="C146" s="4" t="inlineStr">
        <is>
          <t>Both</t>
        </is>
      </c>
      <c r="D146" s="4" t="inlineStr">
        <is>
          <t>Indian home (arrivals) — options: Sell in W1 · keep or rent · sell later</t>
        </is>
      </c>
      <c r="E146" s="4" t="inlineStr">
        <is>
          <t>Sell in W1: India tax only. Later: both tax; §121 if 2 of 5 years; buyer deducts NR TDS (s.197 lower-TDS certificate); INR loan FX gain (L-1); proceeds repatriated within $1M per FY.</t>
        </is>
      </c>
      <c r="F146" s="4" t="inlineStr">
        <is>
          <t>Certain / Likely</t>
        </is>
      </c>
      <c r="G146" s="4">
        <f>IF(ISNUMBER(SEARCH("Verify",F146)),"1 High",IF(ISNUMBER(SEARCH("Likely",F146)),"2 Medium","3 Low"))</f>
        <v/>
      </c>
      <c r="H146" s="8" t="n"/>
      <c r="I146" s="8" t="n"/>
      <c r="J146" s="8" t="n"/>
      <c r="K146" s="8" t="n"/>
      <c r="L146" s="8" t="n"/>
      <c r="M146" s="9" t="n"/>
    </row>
    <row r="147">
      <c r="A147" s="3" t="inlineStr">
        <is>
          <t>DG-3</t>
        </is>
      </c>
      <c r="B147" s="4" t="inlineStr">
        <is>
          <t>Both</t>
        </is>
      </c>
      <c r="C147" s="4" t="inlineStr">
        <is>
          <t>Both</t>
        </is>
      </c>
      <c r="D147" s="4" t="inlineStr">
        <is>
          <t>Car — options: Sell · ship · keep in the US</t>
        </is>
      </c>
      <c r="E147" s="4" t="inlineStr">
        <is>
          <t>Tax: no deductible loss on a personal car; pay off or settle the loan (L-6). Registration is domicile evidence. Shipping to India and customs duty: Tier 3, out of scope.</t>
        </is>
      </c>
      <c r="F147" s="4" t="inlineStr">
        <is>
          <t>Certain</t>
        </is>
      </c>
      <c r="G147" s="4">
        <f>IF(ISNUMBER(SEARCH("Verify",F147)),"1 High",IF(ISNUMBER(SEARCH("Likely",F147)),"2 Medium","3 Low"))</f>
        <v/>
      </c>
      <c r="H147" s="8" t="n"/>
      <c r="I147" s="8" t="n"/>
      <c r="J147" s="8" t="n"/>
      <c r="K147" s="8" t="n"/>
      <c r="L147" s="8" t="n"/>
      <c r="M147" s="9" t="n"/>
    </row>
    <row r="148">
      <c r="A148" s="3" t="inlineStr">
        <is>
          <t>DG-4</t>
        </is>
      </c>
      <c r="B148" s="4" t="inlineStr">
        <is>
          <t>Both</t>
        </is>
      </c>
      <c r="C148" s="4" t="inlineStr">
        <is>
          <t>Both</t>
        </is>
      </c>
      <c r="D148" s="4" t="inlineStr">
        <is>
          <t>US bank accounts — options: Keep one · close the rest</t>
        </is>
      </c>
      <c r="E148" s="4" t="inlineStr">
        <is>
          <t>Keep one US account for US income, IRS refunds, retirement payouts and Social Security. W-8BEN. [Likely] some banks close accounts with foreign addresses. Interest is exempt for a non-resident (bank deposit interest).</t>
        </is>
      </c>
      <c r="F148" s="4" t="inlineStr">
        <is>
          <t>Certain / Likely</t>
        </is>
      </c>
      <c r="G148" s="4">
        <f>IF(ISNUMBER(SEARCH("Verify",F148)),"1 High",IF(ISNUMBER(SEARCH("Likely",F148)),"2 Medium","3 Low"))</f>
        <v/>
      </c>
      <c r="H148" s="8" t="n"/>
      <c r="I148" s="8" t="n"/>
      <c r="J148" s="8" t="n"/>
      <c r="K148" s="8" t="n"/>
      <c r="L148" s="8" t="n"/>
      <c r="M148" s="9" t="n"/>
    </row>
    <row r="149">
      <c r="A149" s="3" t="inlineStr">
        <is>
          <t>DG-5</t>
        </is>
      </c>
      <c r="B149" s="4" t="inlineStr">
        <is>
          <t>Both</t>
        </is>
      </c>
      <c r="C149" s="4" t="inlineStr">
        <is>
          <t>Both</t>
        </is>
      </c>
      <c r="D149" s="4" t="inlineStr">
        <is>
          <t>US credit cards — options: Keep one</t>
        </is>
      </c>
      <c r="E149" s="4" t="inlineStr">
        <is>
          <t>Not tax: credit history for a future return (Tier 2).</t>
        </is>
      </c>
      <c r="F149" s="4" t="inlineStr">
        <is>
          <t>—</t>
        </is>
      </c>
      <c r="G149" s="4">
        <f>IF(ISNUMBER(SEARCH("Verify",F149)),"1 High",IF(ISNUMBER(SEARCH("Likely",F149)),"2 Medium","3 Low"))</f>
        <v/>
      </c>
      <c r="H149" s="8" t="n"/>
      <c r="I149" s="8" t="n"/>
      <c r="J149" s="8" t="n"/>
      <c r="K149" s="8" t="n"/>
      <c r="L149" s="8" t="n"/>
      <c r="M149" s="9" t="n"/>
    </row>
    <row r="150">
      <c r="A150" s="3" t="inlineStr">
        <is>
          <t>DG-6</t>
        </is>
      </c>
      <c r="B150" s="4" t="inlineStr">
        <is>
          <t>Both</t>
        </is>
      </c>
      <c r="C150" s="4" t="inlineStr">
        <is>
          <t>Both</t>
        </is>
      </c>
      <c r="D150" s="4" t="inlineStr">
        <is>
          <t>US brokerage / stocks — options: Sell in W1 · sell in W2 · keep · move to an international broker</t>
        </is>
      </c>
      <c r="E150" s="4" t="inlineStr">
        <is>
          <t>W1: US resident rates. W2: generally no US tax (§871(a)(2) aside) and no India tax if kept abroad. Keep: 25% withholding on dividends; US estate tax over $60k (A-US-12); broker restrictions (G-19). Employer shares at the plan broker: check they can stay.</t>
        </is>
      </c>
      <c r="F150" s="4" t="inlineStr">
        <is>
          <t>Likely</t>
        </is>
      </c>
      <c r="G150" s="4">
        <f>IF(ISNUMBER(SEARCH("Verify",F150)),"1 High",IF(ISNUMBER(SEARCH("Likely",F150)),"2 Medium","3 Low"))</f>
        <v/>
      </c>
      <c r="H150" s="8" t="n"/>
      <c r="I150" s="8" t="n"/>
      <c r="J150" s="8" t="n"/>
      <c r="K150" s="8" t="n"/>
      <c r="L150" s="8" t="n"/>
      <c r="M150" s="9" t="n"/>
    </row>
    <row r="151">
      <c r="A151" s="3" t="inlineStr">
        <is>
          <t>DG-7</t>
        </is>
      </c>
      <c r="B151" s="4" t="inlineStr">
        <is>
          <t>Both</t>
        </is>
      </c>
      <c r="C151" s="4" t="inlineStr">
        <is>
          <t>Both</t>
        </is>
      </c>
      <c r="D151" s="4" t="inlineStr">
        <is>
          <t>Indian demat / mutual funds (arrivals) — options: Sell in W1 · convert to NRI and keep</t>
        </is>
      </c>
      <c r="E151" s="4" t="inlineStr">
        <is>
          <t>Convert to NRI demat (PIS for buying listed shares). [Likely] some fund houses refuse US residents. PFIC from the arrival date (B-US-6). No US cost reset (B-US-7).</t>
        </is>
      </c>
      <c r="F151" s="4" t="inlineStr">
        <is>
          <t>Likely</t>
        </is>
      </c>
      <c r="G151" s="4">
        <f>IF(ISNUMBER(SEARCH("Verify",F151)),"1 High",IF(ISNUMBER(SEARCH("Likely",F151)),"2 Medium","3 Low"))</f>
        <v/>
      </c>
      <c r="H151" s="8" t="n"/>
      <c r="I151" s="8" t="n"/>
      <c r="J151" s="8" t="n"/>
      <c r="K151" s="8" t="n"/>
      <c r="L151" s="8" t="n"/>
      <c r="M151" s="9" t="n"/>
    </row>
    <row r="152">
      <c r="A152" s="3" t="inlineStr">
        <is>
          <t>DG-8</t>
        </is>
      </c>
      <c r="B152" s="4" t="inlineStr">
        <is>
          <t>Both</t>
        </is>
      </c>
      <c r="C152" s="4" t="inlineStr">
        <is>
          <t>Both</t>
        </is>
      </c>
      <c r="D152" s="4" t="inlineStr">
        <is>
          <t>Indian demat / funds (returnees) — options: Convert back to resident</t>
        </is>
      </c>
      <c r="E152" s="4" t="inlineStr">
        <is>
          <t>Update KYC and FATCA status; NR TDS stops (G-15).</t>
        </is>
      </c>
      <c r="F152" s="4" t="inlineStr">
        <is>
          <t>Likely</t>
        </is>
      </c>
      <c r="G152" s="4">
        <f>IF(ISNUMBER(SEARCH("Verify",F152)),"1 High",IF(ISNUMBER(SEARCH("Likely",F152)),"2 Medium","3 Low"))</f>
        <v/>
      </c>
      <c r="H152" s="8" t="n"/>
      <c r="I152" s="8" t="n"/>
      <c r="J152" s="8" t="n"/>
      <c r="K152" s="8" t="n"/>
      <c r="L152" s="8" t="n"/>
      <c r="M152" s="9" t="n"/>
    </row>
    <row r="153">
      <c r="A153" s="3" t="inlineStr">
        <is>
          <t>DG-9</t>
        </is>
      </c>
      <c r="B153" s="4" t="inlineStr">
        <is>
          <t>Both</t>
        </is>
      </c>
      <c r="C153" s="4" t="inlineStr">
        <is>
          <t>Both</t>
        </is>
      </c>
      <c r="D153" s="4" t="inlineStr">
        <is>
          <t>Stock options and unvested awards on leaving the employer — options: Exercise before the window closes · let lapse</t>
        </is>
      </c>
      <c r="E153" s="4" t="inlineStr">
        <is>
          <t>Exercise windows after leaving are often 90 days. ISOs lose ISO status 3 months after leaving. Unvested awards may be forfeited or accelerated. Exercise is US-taxed by US workdays; India taxes when allotted.</t>
        </is>
      </c>
      <c r="F153" s="4" t="inlineStr">
        <is>
          <t>Certain</t>
        </is>
      </c>
      <c r="G153" s="4">
        <f>IF(ISNUMBER(SEARCH("Verify",F153)),"1 High",IF(ISNUMBER(SEARCH("Likely",F153)),"2 Medium","3 Low"))</f>
        <v/>
      </c>
      <c r="H153" s="8" t="n"/>
      <c r="I153" s="8" t="n"/>
      <c r="J153" s="8" t="n"/>
      <c r="K153" s="8" t="n"/>
      <c r="L153" s="8" t="n"/>
      <c r="M153" s="9" t="n"/>
    </row>
    <row r="154">
      <c r="A154" s="3" t="inlineStr">
        <is>
          <t>DG-10</t>
        </is>
      </c>
      <c r="B154" s="4" t="inlineStr">
        <is>
          <t>Both</t>
        </is>
      </c>
      <c r="C154" s="4" t="inlineStr">
        <is>
          <t>Both</t>
        </is>
      </c>
      <c r="D154" s="4" t="inlineStr">
        <is>
          <t>S-corp (owner returning to India) — options: Revoke · restructure · transfer shares before departure</t>
        </is>
      </c>
      <c r="E154" s="4" t="inlineStr">
        <is>
          <t>[Certain] The S election ends automatically when a shareholder becomes a non-resident alien. The company becomes a C-corp mid-year. Plan before the move.</t>
        </is>
      </c>
      <c r="F154" s="4" t="inlineStr">
        <is>
          <t>Certain</t>
        </is>
      </c>
      <c r="G154" s="4">
        <f>IF(ISNUMBER(SEARCH("Verify",F154)),"1 High",IF(ISNUMBER(SEARCH("Likely",F154)),"2 Medium","3 Low"))</f>
        <v/>
      </c>
      <c r="H154" s="8" t="n"/>
      <c r="I154" s="8" t="n"/>
      <c r="J154" s="8" t="n"/>
      <c r="K154" s="8" t="n"/>
      <c r="L154" s="8" t="n"/>
      <c r="M154" s="9" t="n"/>
    </row>
    <row r="155">
      <c r="A155" s="3" t="inlineStr">
        <is>
          <t>DG-11</t>
        </is>
      </c>
      <c r="B155" s="4" t="inlineStr">
        <is>
          <t>Both</t>
        </is>
      </c>
      <c r="C155" s="4" t="inlineStr">
        <is>
          <t>Both</t>
        </is>
      </c>
      <c r="D155" s="4" t="inlineStr">
        <is>
          <t>US LLC / sole proprietorship — options: Wind down · keep</t>
        </is>
      </c>
      <c r="E155" s="4" t="inlineStr">
        <is>
          <t>Keeping: G-6 hybrid issue; ongoing US filings. Partnership: §1446 withholding on a non-resident partner.</t>
        </is>
      </c>
      <c r="F155" s="4" t="inlineStr">
        <is>
          <t>Likely</t>
        </is>
      </c>
      <c r="G155" s="4">
        <f>IF(ISNUMBER(SEARCH("Verify",F155)),"1 High",IF(ISNUMBER(SEARCH("Likely",F155)),"2 Medium","3 Low"))</f>
        <v/>
      </c>
      <c r="H155" s="8" t="n"/>
      <c r="I155" s="8" t="n"/>
      <c r="J155" s="8" t="n"/>
      <c r="K155" s="8" t="n"/>
      <c r="L155" s="8" t="n"/>
      <c r="M155" s="9" t="n"/>
    </row>
    <row r="156">
      <c r="A156" s="3" t="inlineStr">
        <is>
          <t>DG-12</t>
        </is>
      </c>
      <c r="B156" s="4" t="inlineStr">
        <is>
          <t>Both</t>
        </is>
      </c>
      <c r="C156" s="4" t="inlineStr">
        <is>
          <t>Both</t>
        </is>
      </c>
      <c r="D156" s="4" t="inlineStr">
        <is>
          <t>Gifts and estate — options: Gift before vs after · wills in both countries</t>
        </is>
      </c>
      <c r="E156" s="4" t="inlineStr">
        <is>
          <t>A non-citizen spouse gets no unlimited marital deduction (QDOT needed), and the annual gift exclusion to them is capped (about $190k). Gifts by a non-resident: only US real estate and tangible property are subject to US gift tax. Inheritance of Indian assets: §1014 basis = value at death; Form 3520 over $100k.</t>
        </is>
      </c>
      <c r="F156" s="4" t="inlineStr">
        <is>
          <t>Certain / Likely</t>
        </is>
      </c>
      <c r="G156" s="4">
        <f>IF(ISNUMBER(SEARCH("Verify",F156)),"1 High",IF(ISNUMBER(SEARCH("Likely",F156)),"2 Medium","3 Low"))</f>
        <v/>
      </c>
      <c r="H156" s="8" t="n"/>
      <c r="I156" s="8" t="n"/>
      <c r="J156" s="8" t="n"/>
      <c r="K156" s="8" t="n"/>
      <c r="L156" s="8" t="n"/>
      <c r="M156" s="9" t="n"/>
    </row>
    <row r="157">
      <c r="A157" s="3" t="inlineStr">
        <is>
          <t>DG-13</t>
        </is>
      </c>
      <c r="B157" s="4" t="inlineStr">
        <is>
          <t>Both</t>
        </is>
      </c>
      <c r="C157" s="4" t="inlineStr">
        <is>
          <t>Both</t>
        </is>
      </c>
      <c r="D157" s="4" t="inlineStr">
        <is>
          <t>Insurance — options: Keep · replace</t>
        </is>
      </c>
      <c r="E157" s="4" t="inlineStr">
        <is>
          <t>US term life: continuation terms differ by insurer. Health: COBRA vs Indian cover. Umbrella and landlord cover for a kept US home.</t>
        </is>
      </c>
      <c r="F157" s="4" t="inlineStr">
        <is>
          <t>Likely</t>
        </is>
      </c>
      <c r="G157" s="4">
        <f>IF(ISNUMBER(SEARCH("Verify",F157)),"1 High",IF(ISNUMBER(SEARCH("Likely",F157)),"2 Medium","3 Low"))</f>
        <v/>
      </c>
      <c r="H157" s="8" t="n"/>
      <c r="I157" s="8" t="n"/>
      <c r="J157" s="8" t="n"/>
      <c r="K157" s="8" t="n"/>
      <c r="L157" s="8" t="n"/>
      <c r="M157" s="9" t="n"/>
    </row>
    <row r="158">
      <c r="A158" s="3" t="inlineStr">
        <is>
          <t>DG-14</t>
        </is>
      </c>
      <c r="B158" s="4" t="inlineStr">
        <is>
          <t>Both</t>
        </is>
      </c>
      <c r="C158" s="4" t="inlineStr">
        <is>
          <t>Both</t>
        </is>
      </c>
      <c r="D158" s="4" t="inlineStr">
        <is>
          <t>Agricultural land in India (arrivals) — options: Keep · sell</t>
        </is>
      </c>
      <c r="E158" s="4" t="inlineStr">
        <is>
          <t>An NRI/OCI can't buy agricultural land, a farmhouse or a plantation, but can keep land acquired while resident or inherited.</t>
        </is>
      </c>
      <c r="F158" s="4" t="inlineStr">
        <is>
          <t>Certain</t>
        </is>
      </c>
      <c r="G158" s="4">
        <f>IF(ISNUMBER(SEARCH("Verify",F158)),"1 High",IF(ISNUMBER(SEARCH("Likely",F158)),"2 Medium","3 Low"))</f>
        <v/>
      </c>
      <c r="H158" s="8" t="n"/>
      <c r="I158" s="8" t="n"/>
      <c r="J158" s="8" t="n"/>
      <c r="K158" s="8" t="n"/>
      <c r="L158" s="8" t="n"/>
      <c r="M158" s="9" t="n"/>
    </row>
    <row r="159">
      <c r="A159" s="3" t="inlineStr">
        <is>
          <t>DG-15</t>
        </is>
      </c>
      <c r="B159" s="4" t="inlineStr">
        <is>
          <t>Both</t>
        </is>
      </c>
      <c r="C159" s="4" t="inlineStr">
        <is>
          <t>Both</t>
        </is>
      </c>
      <c r="D159" s="4" t="inlineStr">
        <is>
          <t>Indian company directorships, firms — options: Resign · keep</t>
        </is>
      </c>
      <c r="E159" s="4" t="inlineStr">
        <is>
          <t>Company: one director must be India-resident (182 days). Firms and proprietorships: FEMA limits for NRIs.</t>
        </is>
      </c>
      <c r="F159" s="4" t="inlineStr">
        <is>
          <t>Likely / Verify</t>
        </is>
      </c>
      <c r="G159" s="4">
        <f>IF(ISNUMBER(SEARCH("Verify",F159)),"1 High",IF(ISNUMBER(SEARCH("Likely",F159)),"2 Medium","3 Low"))</f>
        <v/>
      </c>
      <c r="H159" s="8" t="n"/>
      <c r="I159" s="8" t="n"/>
      <c r="J159" s="8" t="n"/>
      <c r="K159" s="8" t="n"/>
      <c r="L159" s="8" t="n"/>
      <c r="M159" s="9" t="n"/>
    </row>
    <row r="160">
      <c r="A160" s="3" t="inlineStr">
        <is>
          <t>G-31</t>
        </is>
      </c>
      <c r="B160" s="4" t="inlineStr">
        <is>
          <t>Both</t>
        </is>
      </c>
      <c r="C160" s="4" t="inlineStr">
        <is>
          <t>Both</t>
        </is>
      </c>
      <c r="D160" s="4" t="inlineStr">
        <is>
          <t>Repeat movers</t>
        </is>
      </c>
      <c r="E160" s="4" t="inlineStr">
        <is>
          <t>A second return within a few years usually gets no RNOR (fails both lookback tests); §121's 3-year window and PFIC history carry over.</t>
        </is>
      </c>
      <c r="F160" s="4" t="inlineStr">
        <is>
          <t>Certain</t>
        </is>
      </c>
      <c r="G160" s="4">
        <f>IF(ISNUMBER(SEARCH("Verify",F160)),"1 High",IF(ISNUMBER(SEARCH("Likely",F160)),"2 Medium","3 Low"))</f>
        <v/>
      </c>
      <c r="H160" s="8" t="n"/>
      <c r="I160" s="8" t="n"/>
      <c r="J160" s="8" t="n"/>
      <c r="K160" s="8" t="n"/>
      <c r="L160" s="8" t="n"/>
      <c r="M160" s="9" t="n"/>
    </row>
    <row r="161">
      <c r="A161" s="3" t="inlineStr">
        <is>
          <t>G-32</t>
        </is>
      </c>
      <c r="B161" s="4" t="inlineStr">
        <is>
          <t>Both</t>
        </is>
      </c>
      <c r="C161" s="4" t="inlineStr">
        <is>
          <t>Both</t>
        </is>
      </c>
      <c r="D161" s="4" t="inlineStr">
        <is>
          <t>Timing income and deductions around the move</t>
        </is>
      </c>
      <c r="E161" s="4" t="inlineStr">
        <is>
          <t>Bunching charitable gifts, harvesting US losses or gains, prepaying deductible items while still a US resident at graduated rates.</t>
        </is>
      </c>
      <c r="F161" s="4" t="inlineStr">
        <is>
          <t>Likely</t>
        </is>
      </c>
      <c r="G161" s="4">
        <f>IF(ISNUMBER(SEARCH("Verify",F161)),"1 High",IF(ISNUMBER(SEARCH("Likely",F161)),"2 Medium","3 Low"))</f>
        <v/>
      </c>
      <c r="H161" s="8" t="n"/>
      <c r="I161" s="8" t="n"/>
      <c r="J161" s="8" t="n"/>
      <c r="K161" s="8" t="n"/>
      <c r="L161" s="8" t="n"/>
      <c r="M161" s="9" t="n"/>
    </row>
    <row r="162">
      <c r="A162" s="3" t="inlineStr">
        <is>
          <t>G-33</t>
        </is>
      </c>
      <c r="B162" s="4" t="inlineStr">
        <is>
          <t>Both</t>
        </is>
      </c>
      <c r="C162" s="4" t="inlineStr">
        <is>
          <t>Both</t>
        </is>
      </c>
      <c r="D162" s="4" t="inlineStr">
        <is>
          <t>Charitable giving</t>
        </is>
      </c>
      <c r="E162" s="4" t="inlineStr">
        <is>
          <t>US deduction only while a US taxpayer and only for US charities. India 80G only for a resident.</t>
        </is>
      </c>
      <c r="F162" s="4" t="inlineStr">
        <is>
          <t>Likely</t>
        </is>
      </c>
      <c r="G162" s="4">
        <f>IF(ISNUMBER(SEARCH("Verify",F162)),"1 High",IF(ISNUMBER(SEARCH("Likely",F162)),"2 Medium","3 Low"))</f>
        <v/>
      </c>
      <c r="H162" s="8" t="n"/>
      <c r="I162" s="8" t="n"/>
      <c r="J162" s="8" t="n"/>
      <c r="K162" s="8" t="n"/>
      <c r="L162" s="8" t="n"/>
      <c r="M162" s="9" t="n"/>
    </row>
    <row r="163">
      <c r="A163" s="3" t="inlineStr">
        <is>
          <t>G-34</t>
        </is>
      </c>
      <c r="B163" s="4" t="inlineStr">
        <is>
          <t>Both</t>
        </is>
      </c>
      <c r="C163" s="4" t="inlineStr">
        <is>
          <t>Both</t>
        </is>
      </c>
      <c r="D163" s="4" t="inlineStr">
        <is>
          <t>Alimony and child support</t>
        </is>
      </c>
      <c r="E163" s="4" t="inlineStr">
        <is>
          <t>DTAA Art. 20 also covers alimony and child support; US treatment depends on the divorce date (post-2018: not deductible or taxable).</t>
        </is>
      </c>
      <c r="F163" s="4" t="inlineStr">
        <is>
          <t>Likely</t>
        </is>
      </c>
      <c r="G163" s="4">
        <f>IF(ISNUMBER(SEARCH("Verify",F163)),"1 High",IF(ISNUMBER(SEARCH("Likely",F163)),"2 Medium","3 Low"))</f>
        <v/>
      </c>
      <c r="H163" s="8" t="n"/>
      <c r="I163" s="8" t="n"/>
      <c r="J163" s="8" t="n"/>
      <c r="K163" s="8" t="n"/>
      <c r="L163" s="8" t="n"/>
      <c r="M163" s="9" t="n"/>
    </row>
    <row r="164">
      <c r="A164" s="3" t="inlineStr">
        <is>
          <t>G-35</t>
        </is>
      </c>
      <c r="B164" s="4" t="inlineStr">
        <is>
          <t>Both</t>
        </is>
      </c>
      <c r="C164" s="4" t="inlineStr">
        <is>
          <t>Both</t>
        </is>
      </c>
      <c r="D164" s="4" t="inlineStr">
        <is>
          <t>Inheritance received across the move</t>
        </is>
      </c>
      <c r="E164" s="4" t="inlineStr">
        <is>
          <t>Indian inheritance to a US resident: no US tax, Form 3520 over $100k, basis = value at death (§1014).</t>
        </is>
      </c>
      <c r="F164" s="4" t="inlineStr">
        <is>
          <t>Certain</t>
        </is>
      </c>
      <c r="G164" s="4">
        <f>IF(ISNUMBER(SEARCH("Verify",F164)),"1 High",IF(ISNUMBER(SEARCH("Likely",F164)),"2 Medium","3 Low"))</f>
        <v/>
      </c>
      <c r="H164" s="8" t="n"/>
      <c r="I164" s="8" t="n"/>
      <c r="J164" s="8" t="n"/>
      <c r="K164" s="8" t="n"/>
      <c r="L164" s="8" t="n"/>
      <c r="M164" s="9" t="n"/>
    </row>
    <row r="165">
      <c r="A165" s="3" t="inlineStr">
        <is>
          <t>G-36</t>
        </is>
      </c>
      <c r="B165" s="4" t="inlineStr">
        <is>
          <t>Both</t>
        </is>
      </c>
      <c r="C165" s="4" t="inlineStr">
        <is>
          <t>Both</t>
        </is>
      </c>
      <c r="D165" s="4" t="inlineStr">
        <is>
          <t>Residency audits after leaving</t>
        </is>
      </c>
      <c r="E165" s="4" t="inlineStr">
        <is>
          <t>NY and CA audit former residents; day logs and evidence are the defence.</t>
        </is>
      </c>
      <c r="F165" s="4" t="inlineStr">
        <is>
          <t>Likely</t>
        </is>
      </c>
      <c r="G165" s="4">
        <f>IF(ISNUMBER(SEARCH("Verify",F165)),"1 High",IF(ISNUMBER(SEARCH("Likely",F165)),"2 Medium","3 Low"))</f>
        <v/>
      </c>
      <c r="H165" s="8" t="n"/>
      <c r="I165" s="8" t="n"/>
      <c r="J165" s="8" t="n"/>
      <c r="K165" s="8" t="n"/>
      <c r="L165" s="8" t="n"/>
      <c r="M165" s="9" t="n"/>
    </row>
    <row r="166">
      <c r="A166" s="3" t="inlineStr">
        <is>
          <t>G-37</t>
        </is>
      </c>
      <c r="B166" s="4" t="inlineStr">
        <is>
          <t>Both</t>
        </is>
      </c>
      <c r="C166" s="4" t="inlineStr">
        <is>
          <t>Both</t>
        </is>
      </c>
      <c r="D166" s="4" t="inlineStr">
        <is>
          <t>Treaty forms</t>
        </is>
      </c>
      <c r="E166" s="4" t="inlineStr">
        <is>
          <t>W-8BEN (individual), Form 8233 (treaty exemption for pay), Form 8833 (treaty position), Form 6166 (US residency certificate), TRC + Form 41 (India).</t>
        </is>
      </c>
      <c r="F166" s="4" t="inlineStr">
        <is>
          <t>Certain</t>
        </is>
      </c>
      <c r="G166" s="4">
        <f>IF(ISNUMBER(SEARCH("Verify",F166)),"1 High",IF(ISNUMBER(SEARCH("Likely",F166)),"2 Medium","3 Low"))</f>
        <v/>
      </c>
      <c r="H166" s="8" t="n"/>
      <c r="I166" s="8" t="n"/>
      <c r="J166" s="8" t="n"/>
      <c r="K166" s="8" t="n"/>
      <c r="L166" s="8" t="n"/>
      <c r="M166" s="9" t="n"/>
    </row>
    <row r="167">
      <c r="A167" s="3" t="inlineStr">
        <is>
          <t>G-38</t>
        </is>
      </c>
      <c r="B167" s="4" t="inlineStr">
        <is>
          <t>Both</t>
        </is>
      </c>
      <c r="C167" s="4" t="inlineStr">
        <is>
          <t>Both</t>
        </is>
      </c>
      <c r="D167" s="4" t="inlineStr">
        <is>
          <t>Remote work for an Indian employer after moving to the US</t>
        </is>
      </c>
      <c r="E167" s="4" t="inlineStr">
        <is>
          <t>US taxes as resident; India TDS on pay for India-performed work only.</t>
        </is>
      </c>
      <c r="F167" s="4" t="inlineStr">
        <is>
          <t>Likely</t>
        </is>
      </c>
      <c r="G167" s="4">
        <f>IF(ISNUMBER(SEARCH("Verify",F167)),"1 High",IF(ISNUMBER(SEARCH("Likely",F167)),"2 Medium","3 Low"))</f>
        <v/>
      </c>
      <c r="H167" s="8" t="n"/>
      <c r="I167" s="8" t="n"/>
      <c r="J167" s="8" t="n"/>
      <c r="K167" s="8" t="n"/>
      <c r="L167" s="8" t="n"/>
      <c r="M167" s="9" t="n"/>
    </row>
    <row r="168">
      <c r="A168" s="3" t="inlineStr">
        <is>
          <t>ST-1</t>
        </is>
      </c>
      <c r="B168" s="4" t="inlineStr">
        <is>
          <t>Returning to India</t>
        </is>
      </c>
      <c r="C168" s="4" t="inlineStr">
        <is>
          <t>US (CPA)</t>
        </is>
      </c>
      <c r="D168" s="4" t="inlineStr">
        <is>
          <t>State domicile-break evidence</t>
        </is>
      </c>
      <c r="E168" s="4" t="inlineStr">
        <is>
          <t>Surrender the driver's licence; cancel car registration or sell the car; cancel voter registration; remove any homestead exemption; give up or rent out any home in the state; change address with employer, banks, brokers and the IRS (Form 8822); move or close safe-deposit boxes; end memberships relevant to domicile tests.</t>
        </is>
      </c>
      <c r="F168" s="4" t="inlineStr">
        <is>
          <t>Likely</t>
        </is>
      </c>
      <c r="G168" s="4">
        <f>IF(ISNUMBER(SEARCH("Verify",F168)),"1 High",IF(ISNUMBER(SEARCH("Likely",F168)),"2 Medium","3 Low"))</f>
        <v/>
      </c>
      <c r="H168" s="8" t="n"/>
      <c r="I168" s="8" t="n"/>
      <c r="J168" s="8" t="n"/>
      <c r="K168" s="8" t="n"/>
      <c r="L168" s="8" t="n"/>
      <c r="M168" s="9" t="n"/>
    </row>
    <row r="169">
      <c r="A169" s="3" t="inlineStr">
        <is>
          <t>ST-2</t>
        </is>
      </c>
      <c r="B169" s="4" t="inlineStr">
        <is>
          <t>Returning to India</t>
        </is>
      </c>
      <c r="C169" s="4" t="inlineStr">
        <is>
          <t>US (CPA)</t>
        </is>
      </c>
      <c r="D169" s="4" t="inlineStr">
        <is>
          <t>California</t>
        </is>
      </c>
      <c r="E169" s="4" t="inlineStr">
        <is>
          <t>Closest-connection test and the employment-abroad safe harbour. RSUs and options stay CA-taxable by CA workdays. 3⅓% withholding on a non-resident's CA property sale.</t>
        </is>
      </c>
      <c r="F169" s="4" t="inlineStr">
        <is>
          <t>Likely</t>
        </is>
      </c>
      <c r="G169" s="4">
        <f>IF(ISNUMBER(SEARCH("Verify",F169)),"1 High",IF(ISNUMBER(SEARCH("Likely",F169)),"2 Medium","3 Low"))</f>
        <v/>
      </c>
      <c r="H169" s="8" t="n"/>
      <c r="I169" s="8" t="n"/>
      <c r="J169" s="8" t="n"/>
      <c r="K169" s="8" t="n"/>
      <c r="L169" s="8" t="n"/>
      <c r="M169" s="9" t="n"/>
    </row>
    <row r="170">
      <c r="A170" s="3" t="inlineStr">
        <is>
          <t>ST-3</t>
        </is>
      </c>
      <c r="B170" s="4" t="inlineStr">
        <is>
          <t>Returning to India</t>
        </is>
      </c>
      <c r="C170" s="4" t="inlineStr">
        <is>
          <t>US (CPA)</t>
        </is>
      </c>
      <c r="D170" s="4" t="inlineStr">
        <is>
          <t>New York</t>
        </is>
      </c>
      <c r="E170" s="4" t="inlineStr">
        <is>
          <t>Statutory resident at 183 days plus a permanent place of abode. Residency audits of former residents are common; keep day logs.</t>
        </is>
      </c>
      <c r="F170" s="4" t="inlineStr">
        <is>
          <t>Certain</t>
        </is>
      </c>
      <c r="G170" s="4">
        <f>IF(ISNUMBER(SEARCH("Verify",F170)),"1 High",IF(ISNUMBER(SEARCH("Likely",F170)),"2 Medium","3 Low"))</f>
        <v/>
      </c>
      <c r="H170" s="8" t="n"/>
      <c r="I170" s="8" t="n"/>
      <c r="J170" s="8" t="n"/>
      <c r="K170" s="8" t="n"/>
      <c r="L170" s="8" t="n"/>
      <c r="M170" s="9" t="n"/>
    </row>
    <row r="171">
      <c r="A171" s="3" t="inlineStr">
        <is>
          <t>ST-4</t>
        </is>
      </c>
      <c r="B171" s="4" t="inlineStr">
        <is>
          <t>Returning to India</t>
        </is>
      </c>
      <c r="C171" s="4" t="inlineStr">
        <is>
          <t>US (CPA)</t>
        </is>
      </c>
      <c r="D171" s="4" t="inlineStr">
        <is>
          <t>State returns after leaving</t>
        </is>
      </c>
      <c r="E171" s="4" t="inlineStr">
        <is>
          <t>Final part-year return for the move year, then non-resident returns for state-source income (rent from the old home, its sale, RSUs, deferred comp not protected by 4 U.S.C. §114). Washington taxes capital gains despite no income tax.</t>
        </is>
      </c>
      <c r="F171" s="4" t="inlineStr">
        <is>
          <t>Likely</t>
        </is>
      </c>
      <c r="G171" s="4">
        <f>IF(ISNUMBER(SEARCH("Verify",F171)),"1 High",IF(ISNUMBER(SEARCH("Likely",F171)),"2 Medium","3 Low"))</f>
        <v/>
      </c>
      <c r="H171" s="8" t="n"/>
      <c r="I171" s="8" t="n"/>
      <c r="J171" s="8" t="n"/>
      <c r="K171" s="8" t="n"/>
      <c r="L171" s="8" t="n"/>
      <c r="M171" s="9" t="n"/>
    </row>
    <row r="172">
      <c r="A172" s="3" t="inlineStr">
        <is>
          <t>ST-5</t>
        </is>
      </c>
      <c r="B172" s="4" t="inlineStr">
        <is>
          <t>Returning to India</t>
        </is>
      </c>
      <c r="C172" s="4" t="inlineStr">
        <is>
          <t>US (CPA)</t>
        </is>
      </c>
      <c r="D172" s="4" t="inlineStr">
        <is>
          <t>Retirement income protected (4 U.S.C. §114)</t>
        </is>
      </c>
      <c r="E172" s="4" t="inlineStr">
        <is>
          <t>A former state can't tax most retirement income received after the person leaves (qualified plans, IRAs, government plans, and deferred comp paid over 10+ years).</t>
        </is>
      </c>
      <c r="F172" s="4" t="inlineStr">
        <is>
          <t>Certain</t>
        </is>
      </c>
      <c r="G172" s="4">
        <f>IF(ISNUMBER(SEARCH("Verify",F172)),"1 High",IF(ISNUMBER(SEARCH("Likely",F172)),"2 Medium","3 Low"))</f>
        <v/>
      </c>
      <c r="H172" s="8" t="n"/>
      <c r="I172" s="8" t="n"/>
      <c r="J172" s="8" t="n"/>
      <c r="K172" s="8" t="n"/>
      <c r="L172" s="8" t="n"/>
      <c r="M172" s="9" t="n"/>
    </row>
    <row r="173">
      <c r="A173" s="3" t="inlineStr">
        <is>
          <t>ST-6</t>
        </is>
      </c>
      <c r="B173" s="4" t="inlineStr">
        <is>
          <t>Moving to the US</t>
        </is>
      </c>
      <c r="C173" s="4" t="inlineStr">
        <is>
          <t>US (CPA)</t>
        </is>
      </c>
      <c r="D173" s="4" t="inlineStr">
        <is>
          <t>State entry</t>
        </is>
      </c>
      <c r="E173" s="4" t="inlineStr">
        <is>
          <t>Part-year resident return for the arrival year. Most states give no credit for Indian tax.</t>
        </is>
      </c>
      <c r="F173" s="4" t="inlineStr">
        <is>
          <t>Likely</t>
        </is>
      </c>
      <c r="G173" s="4">
        <f>IF(ISNUMBER(SEARCH("Verify",F173)),"1 High",IF(ISNUMBER(SEARCH("Likely",F173)),"2 Medium","3 Low"))</f>
        <v/>
      </c>
      <c r="H173" s="8" t="n"/>
      <c r="I173" s="8" t="n"/>
      <c r="J173" s="8" t="n"/>
      <c r="K173" s="8" t="n"/>
      <c r="L173" s="8" t="n"/>
      <c r="M173" s="9" t="n"/>
    </row>
  </sheetData>
  <autoFilter ref="A1:M173"/>
  <dataValidations count="1">
    <dataValidation sqref="H2:H173" showDropDown="0" showInputMessage="0" showErrorMessage="0" allowBlank="1" errorTitle="Verdict" error="Choose a verdict from the list." type="list">
      <formula1>"Agree,Agree with change,Disagree,Not sure / needs research,Not my area"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0" customWidth="1" min="2" max="2"/>
    <col width="14" customWidth="1" min="3" max="3"/>
    <col width="50" customWidth="1" min="4" max="4"/>
    <col width="26" customWidth="1" min="5" max="5"/>
    <col width="30" customWidth="1" min="6" max="6"/>
    <col width="14" customWidth="1" min="7" max="7"/>
    <col width="11" customWidth="1" min="8" max="8"/>
  </cols>
  <sheetData>
    <row r="1">
      <c r="A1" s="6" t="inlineStr">
        <is>
          <t>Ref</t>
        </is>
      </c>
      <c r="B1" s="6" t="inlineStr">
        <is>
          <t>Question</t>
        </is>
      </c>
      <c r="C1" s="6" t="inlineStr">
        <is>
          <t>Reviewer</t>
        </is>
      </c>
      <c r="D1" s="6" t="inlineStr">
        <is>
          <t>Answer</t>
        </is>
      </c>
      <c r="E1" s="6" t="inlineStr">
        <is>
          <t>Authority / citation</t>
        </is>
      </c>
      <c r="F1" s="6" t="inlineStr">
        <is>
          <t>Comments</t>
        </is>
      </c>
      <c r="G1" s="6" t="inlineStr">
        <is>
          <t>Answered by</t>
        </is>
      </c>
      <c r="H1" s="6" t="inlineStr">
        <is>
          <t>Date</t>
        </is>
      </c>
    </row>
    <row r="2">
      <c r="A2" s="3" t="inlineStr">
        <is>
          <t>Q-1</t>
        </is>
      </c>
      <c r="B2" s="4" t="inlineStr">
        <is>
          <t>ITA 2025 section numbers for: s.6 residence (including 6(1A) and Explanation 1), s.10(4)(ii) NRE interest, s.10(15)(iv)(fa) FCNR/RFC interest, s.89A → s.158 and Form 40 (and the notified-country list), s.115H, s.10(10) / s.10(10AA), s.195, s.230.</t>
        </is>
      </c>
      <c r="C2" s="4" t="inlineStr">
        <is>
          <t>India (CA)</t>
        </is>
      </c>
      <c r="D2" s="8" t="n"/>
      <c r="E2" s="8" t="n"/>
      <c r="F2" s="8" t="n"/>
      <c r="G2" s="8" t="n"/>
      <c r="H2" s="9" t="n"/>
    </row>
    <row r="3">
      <c r="A3" s="3" t="inlineStr">
        <is>
          <t>Q-2</t>
        </is>
      </c>
      <c r="B3" s="4" t="inlineStr">
        <is>
          <t>Reg. 301.7701(b)-4: the residency termination statement, and the last-year rules when the person returns in the following year.</t>
        </is>
      </c>
      <c r="C3" s="4" t="inlineStr">
        <is>
          <t>US (CPA)</t>
        </is>
      </c>
      <c r="D3" s="8" t="n"/>
      <c r="E3" s="8" t="n"/>
      <c r="F3" s="8" t="n"/>
      <c r="G3" s="8" t="n"/>
      <c r="H3" s="9" t="n"/>
    </row>
    <row r="4">
      <c r="A4" s="3" t="inlineStr">
        <is>
          <t>Q-3</t>
        </is>
      </c>
      <c r="B4" s="4" t="inlineStr">
        <is>
          <t>Whether FBAR in a dual-status year covers the whole calendar year or the resident period only.</t>
        </is>
      </c>
      <c r="C4" s="4" t="inlineStr">
        <is>
          <t>US (CPA)</t>
        </is>
      </c>
      <c r="D4" s="8" t="n"/>
      <c r="E4" s="8" t="n"/>
      <c r="F4" s="8" t="n"/>
      <c r="G4" s="8" t="n"/>
      <c r="H4" s="9" t="n"/>
    </row>
    <row r="5">
      <c r="A5" s="3" t="inlineStr">
        <is>
          <t>Q-4</t>
        </is>
      </c>
      <c r="B5" s="4" t="inlineStr">
        <is>
          <t>DTAA Art. 20 vs Art. 23 for lump-sum withdrawals, and §72(t) under the treaty: settled for full-year 1040-NR filers by an earlier CPA review. Still open: India's side of a lump sum (Art. 23(3) lets the source country tax, so India credits the US tax).</t>
        </is>
      </c>
      <c r="C5" s="4" t="inlineStr">
        <is>
          <t>Both</t>
        </is>
      </c>
      <c r="D5" s="8" t="n"/>
      <c r="E5" s="8" t="n"/>
      <c r="F5" s="8" t="n"/>
      <c r="G5" s="8" t="n"/>
      <c r="H5" s="9" t="n"/>
    </row>
    <row r="6">
      <c r="A6" s="3" t="inlineStr">
        <is>
          <t>Q-5</t>
        </is>
      </c>
      <c r="B6" s="4" t="inlineStr">
        <is>
          <t>Which article governs US Social Security paid to an Indian resident, and the US withholding on it.</t>
        </is>
      </c>
      <c r="C6" s="4" t="inlineStr">
        <is>
          <t>Both</t>
        </is>
      </c>
      <c r="D6" s="8" t="n"/>
      <c r="E6" s="8" t="n"/>
      <c r="F6" s="8" t="n"/>
      <c r="G6" s="8" t="n"/>
      <c r="H6" s="9" t="n"/>
    </row>
    <row r="7">
      <c r="A7" s="3" t="inlineStr">
        <is>
          <t>Q-6</t>
        </is>
      </c>
      <c r="B7" s="4" t="inlineStr">
        <is>
          <t>Art. 10/11 rate caps as amended; Art. 25(3) re-sourcing scope for capital gains on listed securities.</t>
        </is>
      </c>
      <c r="C7" s="4" t="inlineStr">
        <is>
          <t>Both</t>
        </is>
      </c>
      <c r="D7" s="8" t="n"/>
      <c r="E7" s="8" t="n"/>
      <c r="F7" s="8" t="n"/>
      <c r="G7" s="8" t="n"/>
      <c r="H7" s="9" t="n"/>
    </row>
    <row r="8">
      <c r="A8" s="3" t="inlineStr">
        <is>
          <t>Q-7</t>
        </is>
      </c>
      <c r="B8" s="4" t="inlineStr">
        <is>
          <t>Reg. 1.871-13: pay for Indian work received after the US start date.</t>
        </is>
      </c>
      <c r="C8" s="4" t="inlineStr">
        <is>
          <t>US (CPA)</t>
        </is>
      </c>
      <c r="D8" s="8" t="n"/>
      <c r="E8" s="8" t="n"/>
      <c r="F8" s="8" t="n"/>
      <c r="G8" s="8" t="n"/>
      <c r="H8" s="9" t="n"/>
    </row>
    <row r="9">
      <c r="A9" s="3" t="inlineStr">
        <is>
          <t>Q-8</t>
        </is>
      </c>
      <c r="B9" s="4" t="inlineStr">
        <is>
          <t>PFIC holding-period start for funds bought before becoming a US person; ULIP classification; Form 720 for Indian life-insurance premiums.</t>
        </is>
      </c>
      <c r="C9" s="4" t="inlineStr">
        <is>
          <t>Both</t>
        </is>
      </c>
      <c r="D9" s="8" t="n"/>
      <c r="E9" s="8" t="n"/>
      <c r="F9" s="8" t="n"/>
      <c r="G9" s="8" t="n"/>
      <c r="H9" s="9" t="n"/>
    </row>
    <row r="10">
      <c r="A10" s="3" t="inlineStr">
        <is>
          <t>Q-9</t>
        </is>
      </c>
      <c r="B10" s="4" t="inlineStr">
        <is>
          <t>ADS recovery period for foreign residential rental property.</t>
        </is>
      </c>
      <c r="C10" s="4" t="inlineStr">
        <is>
          <t>US (CPA)</t>
        </is>
      </c>
      <c r="D10" s="8" t="n"/>
      <c r="E10" s="8" t="n"/>
      <c r="F10" s="8" t="n"/>
      <c r="G10" s="8" t="n"/>
      <c r="H10" s="9" t="n"/>
    </row>
    <row r="11">
      <c r="A11" s="3" t="inlineStr">
        <is>
          <t>Q-10</t>
        </is>
      </c>
      <c r="B11" s="4" t="inlineStr">
        <is>
          <t>EPF classification for US purposes (employer contributions and growth).</t>
        </is>
      </c>
      <c r="C11" s="4" t="inlineStr">
        <is>
          <t>Both</t>
        </is>
      </c>
      <c r="D11" s="8" t="n"/>
      <c r="E11" s="8" t="n"/>
      <c r="F11" s="8" t="n"/>
      <c r="G11" s="8" t="n"/>
      <c r="H11" s="9" t="n"/>
    </row>
    <row r="12">
      <c r="A12" s="3" t="inlineStr">
        <is>
          <t>Q-11</t>
        </is>
      </c>
      <c r="B12" s="4" t="inlineStr">
        <is>
          <t>Whether a person returning to India for good is 'on a visit' for the 182 / 120-day extension of the 60-day limb. Our reading: not on a visit, so the plain 60-day + 365-day test applies.</t>
        </is>
      </c>
      <c r="C12" s="4" t="inlineStr">
        <is>
          <t>Both</t>
        </is>
      </c>
      <c r="D12" s="8" t="n"/>
      <c r="E12" s="8" t="n"/>
      <c r="F12" s="8" t="n"/>
      <c r="G12" s="8" t="n"/>
      <c r="H12" s="9" t="n"/>
    </row>
    <row r="13">
      <c r="A13" s="3" t="inlineStr">
        <is>
          <t>Q-12</t>
        </is>
      </c>
      <c r="B13" s="4" t="inlineStr">
        <is>
          <t>NRE deposits held to maturity after return (interest taxability from the return date); the FEMA penalty for not redesignating.</t>
        </is>
      </c>
      <c r="C13" s="4" t="inlineStr">
        <is>
          <t>India (CA)</t>
        </is>
      </c>
      <c r="D13" s="8" t="n"/>
      <c r="E13" s="8" t="n"/>
      <c r="F13" s="8" t="n"/>
      <c r="G13" s="8" t="n"/>
      <c r="H13" s="9" t="n"/>
    </row>
    <row r="14">
      <c r="A14" s="3" t="inlineStr">
        <is>
          <t>Q-13</t>
        </is>
      </c>
      <c r="B14" s="4" t="inlineStr">
        <is>
          <t>PAN–Aadhaar linking for a returning resident: deadline and the consequences of an inoperative PAN.</t>
        </is>
      </c>
      <c r="C14" s="4" t="inlineStr">
        <is>
          <t>India (CA)</t>
        </is>
      </c>
      <c r="D14" s="8" t="n"/>
      <c r="E14" s="8" t="n"/>
      <c r="F14" s="8" t="n"/>
      <c r="G14" s="8" t="n"/>
      <c r="H14" s="9" t="n"/>
    </row>
    <row r="15">
      <c r="A15" s="3" t="inlineStr">
        <is>
          <t>Q-14</t>
        </is>
      </c>
      <c r="B15" s="4" t="inlineStr">
        <is>
          <t>RNOR "received in India": whether transfers of income already received abroad count as receipt.</t>
        </is>
      </c>
      <c r="C15" s="4" t="inlineStr">
        <is>
          <t>India (CA)</t>
        </is>
      </c>
      <c r="D15" s="8" t="n"/>
      <c r="E15" s="8" t="n"/>
      <c r="F15" s="8" t="n"/>
      <c r="G15" s="8" t="n"/>
      <c r="H15" s="9" t="n"/>
    </row>
    <row r="16">
      <c r="A16" s="3" t="inlineStr">
        <is>
          <t>Q-15</t>
        </is>
      </c>
      <c r="B16" s="4" t="inlineStr">
        <is>
          <t>Current LRS limit and TCS rates and thresholds by purpose (G-17).</t>
        </is>
      </c>
      <c r="C16" s="4" t="inlineStr">
        <is>
          <t>India (CA)</t>
        </is>
      </c>
      <c r="D16" s="8" t="n"/>
      <c r="E16" s="8" t="n"/>
      <c r="F16" s="8" t="n"/>
      <c r="G16" s="8" t="n"/>
      <c r="H16" s="9" t="n"/>
    </row>
    <row r="17">
      <c r="A17" s="3" t="inlineStr">
        <is>
          <t>Q-16</t>
        </is>
      </c>
      <c r="B17" s="4" t="inlineStr">
        <is>
          <t>US classification of an HUF interest (G-5); India's view of a US LLC (G-6) and of a US grantor trust (G-7); reporting of crypto held on foreign exchanges (G-8).</t>
        </is>
      </c>
      <c r="C17" s="4" t="inlineStr">
        <is>
          <t>Both</t>
        </is>
      </c>
      <c r="D17" s="8" t="n"/>
      <c r="E17" s="8" t="n"/>
      <c r="F17" s="8" t="n"/>
      <c r="G17" s="8" t="n"/>
      <c r="H17" s="9" t="n"/>
    </row>
    <row r="18">
      <c r="A18" s="3" t="inlineStr">
        <is>
          <t>Q-17</t>
        </is>
      </c>
      <c r="B18" s="4" t="inlineStr">
        <is>
          <t>Sourcing of US cancellation-of-debt income for a nonresident (L-4); §221 and s.80E across the move (L-3).</t>
        </is>
      </c>
      <c r="C18" s="4" t="inlineStr">
        <is>
          <t>US (CPA)</t>
        </is>
      </c>
      <c r="D18" s="8" t="n"/>
      <c r="E18" s="8" t="n"/>
      <c r="F18" s="8" t="n"/>
      <c r="G18" s="8" t="n"/>
      <c r="H18" s="9" t="n"/>
    </row>
    <row r="19">
      <c r="A19" s="3" t="inlineStr">
        <is>
          <t>Q-18</t>
        </is>
      </c>
      <c r="B19" s="4" t="inlineStr">
        <is>
          <t>Indian tax treatment of employer relocation reimbursements (G-10).</t>
        </is>
      </c>
      <c r="C19" s="4" t="inlineStr">
        <is>
          <t>India (CA)</t>
        </is>
      </c>
      <c r="D19" s="8" t="n"/>
      <c r="E19" s="8" t="n"/>
      <c r="F19" s="8" t="n"/>
      <c r="G19" s="8" t="n"/>
      <c r="H19" s="9" t="n"/>
    </row>
    <row r="20">
      <c r="A20" s="3" t="inlineStr">
        <is>
          <t>Q-19</t>
        </is>
      </c>
      <c r="B20" s="4" t="inlineStr">
        <is>
          <t>401(k) loan offset: the rollover deadline and whether the treaty changes the offset's treatment after departure (L-5).</t>
        </is>
      </c>
      <c r="C20" s="4" t="inlineStr">
        <is>
          <t>US (CPA)</t>
        </is>
      </c>
      <c r="D20" s="8" t="n"/>
      <c r="E20" s="8" t="n"/>
      <c r="F20" s="8" t="n"/>
      <c r="G20" s="8" t="n"/>
      <c r="H20" s="9" t="n"/>
    </row>
    <row r="21">
      <c r="A21" s="3" t="inlineStr">
        <is>
          <t>Q-20</t>
        </is>
      </c>
      <c r="B21" s="4" t="inlineStr">
        <is>
          <t>India's treatment of a Roth IRA, an HSA, a 529 and a Trump account for an ROR (yearly growth vs withdrawal), and whether any of them is a "specified account" for Form 40.</t>
        </is>
      </c>
      <c r="C21" s="4" t="inlineStr">
        <is>
          <t>India (CA)</t>
        </is>
      </c>
      <c r="D21" s="8" t="n"/>
      <c r="E21" s="8" t="n"/>
      <c r="F21" s="8" t="n"/>
      <c r="G21" s="8" t="n"/>
      <c r="H21" s="9" t="n"/>
    </row>
    <row r="22">
      <c r="A22" s="3" t="inlineStr">
        <is>
          <t>Q-21</t>
        </is>
      </c>
      <c r="B22" s="4" t="inlineStr">
        <is>
          <t>Whether India taxes a 401(k)-to-IRA rollover or a Roth conversion made while ROR.</t>
        </is>
      </c>
      <c r="C22" s="4" t="inlineStr">
        <is>
          <t>India (CA)</t>
        </is>
      </c>
      <c r="D22" s="8" t="n"/>
      <c r="E22" s="8" t="n"/>
      <c r="F22" s="8" t="n"/>
      <c r="G22" s="8" t="n"/>
      <c r="H22" s="9" t="n"/>
    </row>
    <row r="23">
      <c r="A23" s="3" t="inlineStr">
        <is>
          <t>Q-22</t>
        </is>
      </c>
      <c r="B23" s="4" t="inlineStr">
        <is>
          <t>US tax on a Roth conversion by a non-resident (30% flat vs graduated) and on SEPP payments in W2 (possible non-taxation in both countries — specialist judgement).</t>
        </is>
      </c>
      <c r="C23" s="4" t="inlineStr">
        <is>
          <t>US (CPA)</t>
        </is>
      </c>
      <c r="D23" s="8" t="n"/>
      <c r="E23" s="8" t="n"/>
      <c r="F23" s="8" t="n"/>
      <c r="G23" s="8" t="n"/>
      <c r="H23" s="9" t="n"/>
    </row>
    <row r="24">
      <c r="A24" s="3" t="inlineStr">
        <is>
          <t>Q-23</t>
        </is>
      </c>
      <c r="B24" s="4" t="inlineStr">
        <is>
          <t>Current NRI rules for PPF (interest, extension), SCSS, Sukanya Samriddhi, NPS (including OCI eligibility) and EPF for international workers.</t>
        </is>
      </c>
      <c r="C24" s="4" t="inlineStr">
        <is>
          <t>India (CA)</t>
        </is>
      </c>
      <c r="D24" s="8" t="n"/>
      <c r="E24" s="8" t="n"/>
      <c r="F24" s="8" t="n"/>
      <c r="G24" s="8" t="n"/>
      <c r="H24" s="9" t="n"/>
    </row>
    <row r="25">
      <c r="A25" s="3" t="inlineStr">
        <is>
          <t>Q-24</t>
        </is>
      </c>
      <c r="B25" s="4" t="inlineStr">
        <is>
          <t>US classification of EPF/PPF/NPS (trust, Form 3520, yearly taxation) and their Form 8938/FBAR reporting.</t>
        </is>
      </c>
      <c r="C25" s="4" t="inlineStr">
        <is>
          <t>Both</t>
        </is>
      </c>
      <c r="D25" s="8" t="n"/>
      <c r="E25" s="8" t="n"/>
      <c r="F25" s="8" t="n"/>
      <c r="G25" s="8" t="n"/>
      <c r="H25" s="9" t="n"/>
    </row>
    <row r="26">
      <c r="A26" s="3" t="inlineStr">
        <is>
          <t>Q-25</t>
        </is>
      </c>
      <c r="B26" s="4" t="inlineStr">
        <is>
          <t>FEMA limits on NRI holdings in Indian partnership firms and proprietorships.</t>
        </is>
      </c>
      <c r="C26" s="4" t="inlineStr">
        <is>
          <t>India (CA)</t>
        </is>
      </c>
      <c r="D26" s="8" t="n"/>
      <c r="E26" s="8" t="n"/>
      <c r="F26" s="8" t="n"/>
      <c r="G26" s="8" t="n"/>
      <c r="H26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6" customWidth="1" min="4" max="4"/>
    <col width="22" customWidth="1" min="5" max="5"/>
    <col width="18" customWidth="1" min="6" max="6"/>
    <col width="11" customWidth="1" min="7" max="7"/>
    <col width="36" customWidth="1" min="8" max="8"/>
    <col width="36" customWidth="1" min="9" max="9"/>
    <col width="8" customWidth="1" min="10" max="10"/>
    <col width="14" customWidth="1" min="11" max="11"/>
    <col width="40" customWidth="1" min="12" max="12"/>
    <col width="14" customWidth="1" min="13" max="13"/>
  </cols>
  <sheetData>
    <row r="1">
      <c r="A1" s="6" t="inlineStr">
        <is>
          <t>Case</t>
        </is>
      </c>
      <c r="B1" s="6" t="inlineStr">
        <is>
          <t>Direction</t>
        </is>
      </c>
      <c r="C1" s="6" t="inlineStr">
        <is>
          <t>US status</t>
        </is>
      </c>
      <c r="D1" s="6" t="inlineStr">
        <is>
          <t>Example move date</t>
        </is>
      </c>
      <c r="E1" s="6" t="inlineStr">
        <is>
          <t>India status (move FY)</t>
        </is>
      </c>
      <c r="F1" s="6" t="inlineStr">
        <is>
          <t>Household</t>
        </is>
      </c>
      <c r="G1" s="6" t="inlineStr">
        <is>
          <t>First or repeat move</t>
        </is>
      </c>
      <c r="H1" s="6" t="inlineStr">
        <is>
          <t>Key facts</t>
        </is>
      </c>
      <c r="I1" s="6" t="inlineStr">
        <is>
          <t>Why it is a separate case</t>
        </is>
      </c>
      <c r="J1" s="6" t="inlineStr">
        <is>
          <t>Plan persona</t>
        </is>
      </c>
      <c r="K1" s="6" t="inlineStr">
        <is>
          <t>Keep as a separate case?</t>
        </is>
      </c>
      <c r="L1" s="6" t="inlineStr">
        <is>
          <t>Expected outcome notes / missing variants</t>
        </is>
      </c>
      <c r="M1" s="6" t="inlineStr">
        <is>
          <t>Reviewed by</t>
        </is>
      </c>
    </row>
    <row r="2">
      <c r="A2" s="3" t="inlineStr">
        <is>
          <t>C-A1</t>
        </is>
      </c>
      <c r="B2" s="4" t="inlineStr">
        <is>
          <t>Returning to India</t>
        </is>
      </c>
      <c r="C2" s="4" t="inlineStr">
        <is>
          <t>Visa (H-1B)</t>
        </is>
      </c>
      <c r="D2" s="4" t="inlineStr">
        <is>
          <t>15 Aug 2026</t>
        </is>
      </c>
      <c r="E2" s="4" t="inlineStr">
        <is>
          <t>RNOR</t>
        </is>
      </c>
      <c r="F2" s="4" t="inlineStr">
        <is>
          <t>Single</t>
        </is>
      </c>
      <c r="G2" s="4" t="inlineStr">
        <is>
          <t>First</t>
        </is>
      </c>
      <c r="H2" s="4" t="inlineStr">
        <is>
          <t>9 years in US; RSUs vesting after departure; 401(k) and Roth; keeps US rental condo; NRE/NRO accounts</t>
        </is>
      </c>
      <c r="I2" s="4" t="inlineStr">
        <is>
          <t>Core returnee case</t>
        </is>
      </c>
      <c r="J2" s="4" t="inlineStr">
        <is>
          <t>A1</t>
        </is>
      </c>
      <c r="K2" s="8" t="n"/>
      <c r="L2" s="8" t="n"/>
      <c r="M2" s="8" t="n"/>
    </row>
    <row r="3">
      <c r="A3" s="3" t="inlineStr">
        <is>
          <t>C-A2</t>
        </is>
      </c>
      <c r="B3" s="4" t="inlineStr">
        <is>
          <t>Returning to India</t>
        </is>
      </c>
      <c r="C3" s="4" t="inlineStr">
        <is>
          <t>Green card, long-term resident (10 yrs)</t>
        </is>
      </c>
      <c r="D3" s="4" t="inlineStr">
        <is>
          <t>15 Aug 2026</t>
        </is>
      </c>
      <c r="E3" s="4" t="inlineStr">
        <is>
          <t>RNOR</t>
        </is>
      </c>
      <c r="F3" s="4" t="inlineStr">
        <is>
          <t>Single</t>
        </is>
      </c>
      <c r="G3" s="4" t="inlineStr">
        <is>
          <t>First</t>
        </is>
      </c>
      <c r="H3" s="4" t="inlineStr">
        <is>
          <t>Files I-407; net worth near §877A thresholds</t>
        </is>
      </c>
      <c r="I3" s="4" t="inlineStr">
        <is>
          <t>§877A covered-expatriate tests; Form 8854</t>
        </is>
      </c>
      <c r="J3" s="4" t="inlineStr">
        <is>
          <t>A2</t>
        </is>
      </c>
      <c r="K3" s="8" t="n"/>
      <c r="L3" s="8" t="n"/>
      <c r="M3" s="8" t="n"/>
    </row>
    <row r="4">
      <c r="A4" s="3" t="inlineStr">
        <is>
          <t>C-A3</t>
        </is>
      </c>
      <c r="B4" s="4" t="inlineStr">
        <is>
          <t>Returning to India</t>
        </is>
      </c>
      <c r="C4" s="4" t="inlineStr">
        <is>
          <t>Green card, under 8 years</t>
        </is>
      </c>
      <c r="D4" s="4" t="inlineStr">
        <is>
          <t>Jun 2026</t>
        </is>
      </c>
      <c r="E4" s="4" t="inlineStr">
        <is>
          <t>RNOR</t>
        </is>
      </c>
      <c r="F4" s="4" t="inlineStr">
        <is>
          <t>Single</t>
        </is>
      </c>
      <c r="G4" s="4" t="inlineStr">
        <is>
          <t>First</t>
        </is>
      </c>
      <c r="H4" s="4" t="inlineStr">
        <is>
          <t>Files I-407</t>
        </is>
      </c>
      <c r="I4" s="4" t="inlineStr">
        <is>
          <t>No §877A; residency ends at surrender</t>
        </is>
      </c>
      <c r="J4" s="4" t="inlineStr"/>
      <c r="K4" s="8" t="n"/>
      <c r="L4" s="8" t="n"/>
      <c r="M4" s="8" t="n"/>
    </row>
    <row r="5">
      <c r="A5" s="3" t="inlineStr">
        <is>
          <t>C-A4</t>
        </is>
      </c>
      <c r="B5" s="4" t="inlineStr">
        <is>
          <t>Returning to India</t>
        </is>
      </c>
      <c r="C5" s="4" t="inlineStr">
        <is>
          <t>Green card kept (re-entry permit)</t>
        </is>
      </c>
      <c r="D5" s="4" t="inlineStr">
        <is>
          <t>Jun 2026</t>
        </is>
      </c>
      <c r="E5" s="4" t="inlineStr">
        <is>
          <t>RNOR</t>
        </is>
      </c>
      <c r="F5" s="4" t="inlineStr">
        <is>
          <t>Single</t>
        </is>
      </c>
      <c r="G5" s="4" t="inlineStr">
        <is>
          <t>First</t>
        </is>
      </c>
      <c r="H5" s="4" t="inlineStr">
        <is>
          <t>Lives in India, keeps card</t>
        </is>
      </c>
      <c r="I5" s="4" t="inlineStr">
        <is>
          <t>Stays US resident on worldwide income (G-3)</t>
        </is>
      </c>
      <c r="J5" s="4" t="inlineStr"/>
      <c r="K5" s="8" t="n"/>
      <c r="L5" s="8" t="n"/>
      <c r="M5" s="8" t="n"/>
    </row>
    <row r="6">
      <c r="A6" s="3" t="inlineStr">
        <is>
          <t>C-A5</t>
        </is>
      </c>
      <c r="B6" s="4" t="inlineStr">
        <is>
          <t>Returning to India</t>
        </is>
      </c>
      <c r="C6" s="4" t="inlineStr">
        <is>
          <t>US citizen (OCI)</t>
        </is>
      </c>
      <c r="D6" s="4" t="inlineStr">
        <is>
          <t>Aug 2026</t>
        </is>
      </c>
      <c r="E6" s="4" t="inlineStr">
        <is>
          <t>RNOR</t>
        </is>
      </c>
      <c r="F6" s="4" t="inlineStr">
        <is>
          <t>Single</t>
        </is>
      </c>
      <c r="G6" s="4" t="inlineStr">
        <is>
          <t>First</t>
        </is>
      </c>
      <c r="H6" s="4" t="inlineStr">
        <is>
          <t>Relocating permanently; Indian employer</t>
        </is>
      </c>
      <c r="I6" s="4" t="inlineStr">
        <is>
          <t>US scope unchanged; FEIE vs FTC; EPF international worker</t>
        </is>
      </c>
      <c r="J6" s="4" t="inlineStr">
        <is>
          <t>A3</t>
        </is>
      </c>
      <c r="K6" s="8" t="n"/>
      <c r="L6" s="8" t="n"/>
      <c r="M6" s="8" t="n"/>
    </row>
    <row r="7">
      <c r="A7" s="3" t="inlineStr">
        <is>
          <t>C-A6</t>
        </is>
      </c>
      <c r="B7" s="4" t="inlineStr">
        <is>
          <t>Returning to India</t>
        </is>
      </c>
      <c r="C7" s="4" t="inlineStr">
        <is>
          <t>Visa (H-1B)</t>
        </is>
      </c>
      <c r="D7" s="4" t="inlineStr">
        <is>
          <t>Aug 2026</t>
        </is>
      </c>
      <c r="E7" s="4" t="inlineStr">
        <is>
          <t>ROR (no RNOR)</t>
        </is>
      </c>
      <c r="F7" s="4" t="inlineStr">
        <is>
          <t>Single</t>
        </is>
      </c>
      <c r="G7" s="4" t="inlineStr">
        <is>
          <t>First</t>
        </is>
      </c>
      <c r="H7" s="4" t="inlineStr">
        <is>
          <t>Only 3 years abroad</t>
        </is>
      </c>
      <c r="I7" s="4" t="inlineStr">
        <is>
          <t>Overlap Apr–Aug taxed by both; Art. 4/25</t>
        </is>
      </c>
      <c r="J7" s="4" t="inlineStr">
        <is>
          <t>A4</t>
        </is>
      </c>
      <c r="K7" s="8" t="n"/>
      <c r="L7" s="8" t="n"/>
      <c r="M7" s="8" t="n"/>
    </row>
    <row r="8">
      <c r="A8" s="3" t="inlineStr">
        <is>
          <t>C-A7</t>
        </is>
      </c>
      <c r="B8" s="4" t="inlineStr">
        <is>
          <t>Returning to India</t>
        </is>
      </c>
      <c r="C8" s="4" t="inlineStr">
        <is>
          <t>Visa (H-1B)</t>
        </is>
      </c>
      <c r="D8" s="4" t="inlineStr">
        <is>
          <t>Feb 2026</t>
        </is>
      </c>
      <c r="E8" s="4" t="inlineStr">
        <is>
          <t>NR in FY 2025-26, RNOR from FY 2026-27</t>
        </is>
      </c>
      <c r="F8" s="4" t="inlineStr">
        <is>
          <t>Single</t>
        </is>
      </c>
      <c r="G8" s="4" t="inlineStr">
        <is>
          <t>First</t>
        </is>
      </c>
      <c r="H8" s="4" t="inlineStr">
        <is>
          <t>Return in Jan–Mar</t>
        </is>
      </c>
      <c r="I8" s="4" t="inlineStr">
        <is>
          <t>Move year spans two Indian years</t>
        </is>
      </c>
      <c r="J8" s="4" t="inlineStr"/>
      <c r="K8" s="8" t="n"/>
      <c r="L8" s="8" t="n"/>
      <c r="M8" s="8" t="n"/>
    </row>
    <row r="9">
      <c r="A9" s="3" t="inlineStr">
        <is>
          <t>C-A8</t>
        </is>
      </c>
      <c r="B9" s="4" t="inlineStr">
        <is>
          <t>Returning to India</t>
        </is>
      </c>
      <c r="C9" s="4" t="inlineStr">
        <is>
          <t>Visa (H-1B)</t>
        </is>
      </c>
      <c r="D9" s="4" t="inlineStr">
        <is>
          <t>Nov 2026</t>
        </is>
      </c>
      <c r="E9" s="4" t="inlineStr">
        <is>
          <t>NR for FY 2026-27 (unless 60+365), RNOR next FY</t>
        </is>
      </c>
      <c r="F9" s="4" t="inlineStr">
        <is>
          <t>Single</t>
        </is>
      </c>
      <c r="G9" s="4" t="inlineStr">
        <is>
          <t>First</t>
        </is>
      </c>
      <c r="H9" s="4" t="inlineStr">
        <is>
          <t>Late-year return; few prior visits</t>
        </is>
      </c>
      <c r="I9" s="4" t="inlineStr">
        <is>
          <t>India status for the move FY may be NR</t>
        </is>
      </c>
      <c r="J9" s="4" t="inlineStr"/>
      <c r="K9" s="8" t="n"/>
      <c r="L9" s="8" t="n"/>
      <c r="M9" s="8" t="n"/>
    </row>
    <row r="10">
      <c r="A10" s="3" t="inlineStr">
        <is>
          <t>C-A9</t>
        </is>
      </c>
      <c r="B10" s="4" t="inlineStr">
        <is>
          <t>Returning to India</t>
        </is>
      </c>
      <c r="C10" s="4" t="inlineStr">
        <is>
          <t>Visa (H-1B)</t>
        </is>
      </c>
      <c r="D10" s="4" t="inlineStr">
        <is>
          <t>Aug 2026</t>
        </is>
      </c>
      <c r="E10" s="4" t="inlineStr">
        <is>
          <t>RNOR</t>
        </is>
      </c>
      <c r="F10" s="4" t="inlineStr">
        <is>
          <t>Single</t>
        </is>
      </c>
      <c r="G10" s="4" t="inlineStr">
        <is>
          <t>First</t>
        </is>
      </c>
      <c r="H10" s="4" t="inlineStr">
        <is>
          <t>Keeps US ties; no closer-connection claim</t>
        </is>
      </c>
      <c r="I10" s="4" t="inlineStr">
        <is>
          <t>US resident all year (residency end date not supported)</t>
        </is>
      </c>
      <c r="J10" s="4" t="inlineStr"/>
      <c r="K10" s="8" t="n"/>
      <c r="L10" s="8" t="n"/>
      <c r="M10" s="8" t="n"/>
    </row>
    <row r="11">
      <c r="A11" s="3" t="inlineStr">
        <is>
          <t>C-A10</t>
        </is>
      </c>
      <c r="B11" s="4" t="inlineStr">
        <is>
          <t>Returning to India</t>
        </is>
      </c>
      <c r="C11" s="4" t="inlineStr">
        <is>
          <t>Both spouses on visas</t>
        </is>
      </c>
      <c r="D11" s="4" t="inlineStr">
        <is>
          <t>Aug 2026</t>
        </is>
      </c>
      <c r="E11" s="4" t="inlineStr">
        <is>
          <t>RNOR (both)</t>
        </is>
      </c>
      <c r="F11" s="4" t="inlineStr">
        <is>
          <t>Couple, same date</t>
        </is>
      </c>
      <c r="G11" s="4" t="inlineStr">
        <is>
          <t>First</t>
        </is>
      </c>
      <c r="H11" s="4" t="inlineStr">
        <is>
          <t>Filed MFJ in prior years</t>
        </is>
      </c>
      <c r="I11" s="4" t="inlineStr">
        <is>
          <t>No MFJ in dual-status year without election</t>
        </is>
      </c>
      <c r="J11" s="4" t="inlineStr"/>
      <c r="K11" s="8" t="n"/>
      <c r="L11" s="8" t="n"/>
      <c r="M11" s="8" t="n"/>
    </row>
    <row r="12">
      <c r="A12" s="3" t="inlineStr">
        <is>
          <t>C-A11</t>
        </is>
      </c>
      <c r="B12" s="4" t="inlineStr">
        <is>
          <t>Returning to India</t>
        </is>
      </c>
      <c r="C12" s="4" t="inlineStr">
        <is>
          <t>Both spouses on visas</t>
        </is>
      </c>
      <c r="D12" s="4" t="inlineStr">
        <is>
          <t>Spouse 1 Jun, spouse 2 Dec 2026</t>
        </is>
      </c>
      <c r="E12" s="4" t="inlineStr">
        <is>
          <t>RNOR / NR</t>
        </is>
      </c>
      <c r="F12" s="4" t="inlineStr">
        <is>
          <t>Couple, different dates</t>
        </is>
      </c>
      <c r="G12" s="4" t="inlineStr">
        <is>
          <t>First</t>
        </is>
      </c>
      <c r="H12" s="4" t="inlineStr">
        <is>
          <t>One spouse stays to finish work</t>
        </is>
      </c>
      <c r="I12" s="4" t="inlineStr">
        <is>
          <t>Different residency periods per spouse</t>
        </is>
      </c>
      <c r="J12" s="4" t="inlineStr"/>
      <c r="K12" s="8" t="n"/>
      <c r="L12" s="8" t="n"/>
      <c r="M12" s="8" t="n"/>
    </row>
    <row r="13">
      <c r="A13" s="3" t="inlineStr">
        <is>
          <t>C-A12</t>
        </is>
      </c>
      <c r="B13" s="4" t="inlineStr">
        <is>
          <t>Returning to India</t>
        </is>
      </c>
      <c r="C13" s="4" t="inlineStr">
        <is>
          <t>US-citizen spouse + visa spouse</t>
        </is>
      </c>
      <c r="D13" s="4" t="inlineStr">
        <is>
          <t>Aug 2026</t>
        </is>
      </c>
      <c r="E13" s="4" t="inlineStr">
        <is>
          <t>RNOR (visa spouse)</t>
        </is>
      </c>
      <c r="F13" s="4" t="inlineStr">
        <is>
          <t>Couple, same date</t>
        </is>
      </c>
      <c r="G13" s="4" t="inlineStr">
        <is>
          <t>First</t>
        </is>
      </c>
      <c r="H13" s="4" t="inlineStr">
        <is>
          <t>Citizen spouse stays a US taxpayer</t>
        </is>
      </c>
      <c r="I13" s="4" t="inlineStr">
        <is>
          <t>§6013(g) option for the non-citizen spouse</t>
        </is>
      </c>
      <c r="J13" s="4" t="inlineStr"/>
      <c r="K13" s="8" t="n"/>
      <c r="L13" s="8" t="n"/>
      <c r="M13" s="8" t="n"/>
    </row>
    <row r="14">
      <c r="A14" s="3" t="inlineStr">
        <is>
          <t>C-A13</t>
        </is>
      </c>
      <c r="B14" s="4" t="inlineStr">
        <is>
          <t>Returning to India</t>
        </is>
      </c>
      <c r="C14" s="4" t="inlineStr">
        <is>
          <t>Visa (H-1B)</t>
        </is>
      </c>
      <c r="D14" s="4" t="inlineStr">
        <is>
          <t>Aug 2026</t>
        </is>
      </c>
      <c r="E14" s="4" t="inlineStr">
        <is>
          <t>RNOR</t>
        </is>
      </c>
      <c r="F14" s="4" t="inlineStr">
        <is>
          <t>Family with US-born children</t>
        </is>
      </c>
      <c r="G14" s="4" t="inlineStr">
        <is>
          <t>First</t>
        </is>
      </c>
      <c r="H14" s="4" t="inlineStr">
        <is>
          <t>Children are US citizens with Indian accounts</t>
        </is>
      </c>
      <c r="I14" s="4" t="inlineStr">
        <is>
          <t>Children's own US filings, FBAR, PFIC (G-4)</t>
        </is>
      </c>
      <c r="J14" s="4" t="inlineStr"/>
      <c r="K14" s="8" t="n"/>
      <c r="L14" s="8" t="n"/>
      <c r="M14" s="8" t="n"/>
    </row>
    <row r="15">
      <c r="A15" s="3" t="inlineStr">
        <is>
          <t>C-A14</t>
        </is>
      </c>
      <c r="B15" s="4" t="inlineStr">
        <is>
          <t>Returning to India</t>
        </is>
      </c>
      <c r="C15" s="4" t="inlineStr">
        <is>
          <t>F-1 student</t>
        </is>
      </c>
      <c r="D15" s="4" t="inlineStr">
        <is>
          <t>Jun 2026</t>
        </is>
      </c>
      <c r="E15" s="4" t="inlineStr">
        <is>
          <t>RNOR</t>
        </is>
      </c>
      <c r="F15" s="4" t="inlineStr">
        <is>
          <t>Single</t>
        </is>
      </c>
      <c r="G15" s="4" t="inlineStr">
        <is>
          <t>First</t>
        </is>
      </c>
      <c r="H15" s="4" t="inlineStr">
        <is>
          <t>Exempt individual throughout</t>
        </is>
      </c>
      <c r="I15" s="4" t="inlineStr">
        <is>
          <t>US non-resident all along; no dual-status year</t>
        </is>
      </c>
      <c r="J15" s="4" t="inlineStr"/>
      <c r="K15" s="8" t="n"/>
      <c r="L15" s="8" t="n"/>
      <c r="M15" s="8" t="n"/>
    </row>
    <row r="16">
      <c r="A16" s="3" t="inlineStr">
        <is>
          <t>C-A15</t>
        </is>
      </c>
      <c r="B16" s="4" t="inlineStr">
        <is>
          <t>Returning to India</t>
        </is>
      </c>
      <c r="C16" s="4" t="inlineStr">
        <is>
          <t>Visa (H-1B)</t>
        </is>
      </c>
      <c r="D16" s="4" t="inlineStr">
        <is>
          <t>Aug 2026</t>
        </is>
      </c>
      <c r="E16" s="4" t="inlineStr">
        <is>
          <t>ROR</t>
        </is>
      </c>
      <c r="F16" s="4" t="inlineStr">
        <is>
          <t>Single</t>
        </is>
      </c>
      <c r="G16" s="4" t="inlineStr">
        <is>
          <t>Repeat</t>
        </is>
      </c>
      <c r="H16" s="4" t="inlineStr">
        <is>
          <t>Returned to India once before within 4 years</t>
        </is>
      </c>
      <c r="I16" s="4" t="inlineStr">
        <is>
          <t>No RNOR on a repeat return (G-31)</t>
        </is>
      </c>
      <c r="J16" s="4" t="inlineStr"/>
      <c r="K16" s="8" t="n"/>
      <c r="L16" s="8" t="n"/>
      <c r="M16" s="8" t="n"/>
    </row>
    <row r="17">
      <c r="A17" s="3" t="inlineStr">
        <is>
          <t>C-A16</t>
        </is>
      </c>
      <c r="B17" s="4" t="inlineStr">
        <is>
          <t>Returning to India</t>
        </is>
      </c>
      <c r="C17" s="4" t="inlineStr">
        <is>
          <t>Visa / green card</t>
        </is>
      </c>
      <c r="D17" s="4" t="inlineStr">
        <is>
          <t>Aug 2026</t>
        </is>
      </c>
      <c r="E17" s="4" t="inlineStr">
        <is>
          <t>RNOR</t>
        </is>
      </c>
      <c r="F17" s="4" t="inlineStr">
        <is>
          <t>Single</t>
        </is>
      </c>
      <c r="G17" s="4" t="inlineStr">
        <is>
          <t>First</t>
        </is>
      </c>
      <c r="H17" s="4" t="inlineStr">
        <is>
          <t>Consultant keeping US clients from India</t>
        </is>
      </c>
      <c r="I17" s="4" t="inlineStr">
        <is>
          <t>Business income sourcing; no US SE tax (G-11)</t>
        </is>
      </c>
      <c r="J17" s="4" t="inlineStr"/>
      <c r="K17" s="8" t="n"/>
      <c r="L17" s="8" t="n"/>
      <c r="M17" s="8" t="n"/>
    </row>
    <row r="18">
      <c r="A18" s="3" t="inlineStr">
        <is>
          <t>C-A17</t>
        </is>
      </c>
      <c r="B18" s="4" t="inlineStr">
        <is>
          <t>Returning to India</t>
        </is>
      </c>
      <c r="C18" s="4" t="inlineStr">
        <is>
          <t>Green card</t>
        </is>
      </c>
      <c r="D18" s="4" t="inlineStr">
        <is>
          <t>Aug 2026</t>
        </is>
      </c>
      <c r="E18" s="4" t="inlineStr">
        <is>
          <t>RNOR</t>
        </is>
      </c>
      <c r="F18" s="4" t="inlineStr">
        <is>
          <t>Single</t>
        </is>
      </c>
      <c r="G18" s="4" t="inlineStr">
        <is>
          <t>First</t>
        </is>
      </c>
      <c r="H18" s="4" t="inlineStr">
        <is>
          <t>Owns an S-corp</t>
        </is>
      </c>
      <c r="I18" s="4" t="inlineStr">
        <is>
          <t>S election ends on becoming non-resident alien</t>
        </is>
      </c>
      <c r="J18" s="4" t="inlineStr"/>
      <c r="K18" s="8" t="n"/>
      <c r="L18" s="8" t="n"/>
      <c r="M18" s="8" t="n"/>
    </row>
    <row r="19">
      <c r="A19" s="3" t="inlineStr">
        <is>
          <t>C-A18</t>
        </is>
      </c>
      <c r="B19" s="4" t="inlineStr">
        <is>
          <t>Returning to India</t>
        </is>
      </c>
      <c r="C19" s="4" t="inlineStr">
        <is>
          <t>Green card / citizen, age 62+</t>
        </is>
      </c>
      <c r="D19" s="4" t="inlineStr">
        <is>
          <t>Aug 2026</t>
        </is>
      </c>
      <c r="E19" s="4" t="inlineStr">
        <is>
          <t>RNOR</t>
        </is>
      </c>
      <c r="F19" s="4" t="inlineStr">
        <is>
          <t>Couple, same date</t>
        </is>
      </c>
      <c r="G19" s="4" t="inlineStr">
        <is>
          <t>First</t>
        </is>
      </c>
      <c r="H19" s="4" t="inlineStr">
        <is>
          <t>Retiring: pension annuity, IRA, Social Security, RMDs soon</t>
        </is>
      </c>
      <c r="I19" s="4" t="inlineStr">
        <is>
          <t>Retirement-income treaty treatment; Medicare</t>
        </is>
      </c>
      <c r="J19" s="4" t="inlineStr"/>
      <c r="K19" s="8" t="n"/>
      <c r="L19" s="8" t="n"/>
      <c r="M19" s="8" t="n"/>
    </row>
    <row r="20">
      <c r="A20" s="3" t="inlineStr">
        <is>
          <t>C-B1</t>
        </is>
      </c>
      <c r="B20" s="4" t="inlineStr">
        <is>
          <t>Moving to the US</t>
        </is>
      </c>
      <c r="C20" s="4" t="inlineStr">
        <is>
          <t>Visa (H-1B)</t>
        </is>
      </c>
      <c r="D20" s="4" t="inlineStr">
        <is>
          <t>15 Aug 2026</t>
        </is>
      </c>
      <c r="E20" s="4" t="inlineStr">
        <is>
          <t>NR (left for employment)</t>
        </is>
      </c>
      <c r="F20" s="4" t="inlineStr">
        <is>
          <t>Single</t>
        </is>
      </c>
      <c r="G20" s="4" t="inlineStr">
        <is>
          <t>First</t>
        </is>
      </c>
      <c r="H20" s="4" t="inlineStr">
        <is>
          <t>Indian mutual funds; NRO FD</t>
        </is>
      </c>
      <c r="I20" s="4" t="inlineStr">
        <is>
          <t>SPT not met: full-year NRA vs first-year choice</t>
        </is>
      </c>
      <c r="J20" s="4" t="inlineStr">
        <is>
          <t>B1</t>
        </is>
      </c>
      <c r="K20" s="8" t="n"/>
      <c r="L20" s="8" t="n"/>
      <c r="M20" s="8" t="n"/>
    </row>
    <row r="21">
      <c r="A21" s="3" t="inlineStr">
        <is>
          <t>C-B2</t>
        </is>
      </c>
      <c r="B21" s="4" t="inlineStr">
        <is>
          <t>Moving to the US</t>
        </is>
      </c>
      <c r="C21" s="4" t="inlineStr">
        <is>
          <t>Visa (H-1B) + H-4 spouse</t>
        </is>
      </c>
      <c r="D21" s="4" t="inlineStr">
        <is>
          <t>Feb 2026 (spouse Apr)</t>
        </is>
      </c>
      <c r="E21" s="4" t="inlineStr">
        <is>
          <t>ROR in FY 2025-26, NR after</t>
        </is>
      </c>
      <c r="F21" s="4" t="inlineStr">
        <is>
          <t>Couple, different dates</t>
        </is>
      </c>
      <c r="G21" s="4" t="inlineStr">
        <is>
          <t>First</t>
        </is>
      </c>
      <c r="H21" s="4" t="inlineStr">
        <is>
          <t>Spouse has Indian rental income</t>
        </is>
      </c>
      <c r="I21" s="4" t="inlineStr">
        <is>
          <t>Dual-status vs §6013(h); Jan–Mar move</t>
        </is>
      </c>
      <c r="J21" s="4" t="inlineStr">
        <is>
          <t>B2</t>
        </is>
      </c>
      <c r="K21" s="8" t="n"/>
      <c r="L21" s="8" t="n"/>
      <c r="M21" s="8" t="n"/>
    </row>
    <row r="22">
      <c r="A22" s="3" t="inlineStr">
        <is>
          <t>C-B3</t>
        </is>
      </c>
      <c r="B22" s="4" t="inlineStr">
        <is>
          <t>Moving to the US</t>
        </is>
      </c>
      <c r="C22" s="4" t="inlineStr">
        <is>
          <t>F-1 student</t>
        </is>
      </c>
      <c r="D22" s="4" t="inlineStr">
        <is>
          <t>Aug 2026</t>
        </is>
      </c>
      <c r="E22" s="4" t="inlineStr">
        <is>
          <t>NR</t>
        </is>
      </c>
      <c r="F22" s="4" t="inlineStr">
        <is>
          <t>Single</t>
        </is>
      </c>
      <c r="G22" s="4" t="inlineStr">
        <is>
          <t>First</t>
        </is>
      </c>
      <c r="H22" s="4" t="inlineStr">
        <is>
          <t>Funding from family in India</t>
        </is>
      </c>
      <c r="I22" s="4" t="inlineStr">
        <is>
          <t>Exempt individual; Art. 21; Form 8843</t>
        </is>
      </c>
      <c r="J22" s="4" t="inlineStr">
        <is>
          <t>B3</t>
        </is>
      </c>
      <c r="K22" s="8" t="n"/>
      <c r="L22" s="8" t="n"/>
      <c r="M22" s="8" t="n"/>
    </row>
    <row r="23">
      <c r="A23" s="3" t="inlineStr">
        <is>
          <t>C-B4</t>
        </is>
      </c>
      <c r="B23" s="4" t="inlineStr">
        <is>
          <t>Moving to the US</t>
        </is>
      </c>
      <c r="C23" s="4" t="inlineStr">
        <is>
          <t>Green card immigrant</t>
        </is>
      </c>
      <c r="D23" s="4" t="inlineStr">
        <is>
          <t>Nov 2026</t>
        </is>
      </c>
      <c r="E23" s="4" t="inlineStr">
        <is>
          <t>ROR (182+ days in India)</t>
        </is>
      </c>
      <c r="F23" s="4" t="inlineStr">
        <is>
          <t>Couple, same date</t>
        </is>
      </c>
      <c r="G23" s="4" t="inlineStr">
        <is>
          <t>First</t>
        </is>
      </c>
      <c r="H23" s="4" t="inlineStr">
        <is>
          <t>Flat, EPF/PPF, ULIP</t>
        </is>
      </c>
      <c r="I23" s="4" t="inlineStr">
        <is>
          <t>India ROR in departure FY; overlap Nov–Mar</t>
        </is>
      </c>
      <c r="J23" s="4" t="inlineStr">
        <is>
          <t>B4</t>
        </is>
      </c>
      <c r="K23" s="8" t="n"/>
      <c r="L23" s="8" t="n"/>
      <c r="M23" s="8" t="n"/>
    </row>
    <row r="24">
      <c r="A24" s="3" t="inlineStr">
        <is>
          <t>C-B5</t>
        </is>
      </c>
      <c r="B24" s="4" t="inlineStr">
        <is>
          <t>Moving to the US</t>
        </is>
      </c>
      <c r="C24" s="4" t="inlineStr">
        <is>
          <t>Visa (H-1B)</t>
        </is>
      </c>
      <c r="D24" s="4" t="inlineStr">
        <is>
          <t>May 2026</t>
        </is>
      </c>
      <c r="E24" s="4" t="inlineStr">
        <is>
          <t>NR</t>
        </is>
      </c>
      <c r="F24" s="4" t="inlineStr">
        <is>
          <t>Single</t>
        </is>
      </c>
      <c r="G24" s="4" t="inlineStr">
        <is>
          <t>First</t>
        </is>
      </c>
      <c r="H24" s="4" t="inlineStr">
        <is>
          <t>SPT met in arrival year</t>
        </is>
      </c>
      <c r="I24" s="4" t="inlineStr">
        <is>
          <t>Dual-status from arrival date (most common arrival)</t>
        </is>
      </c>
      <c r="J24" s="4" t="inlineStr"/>
      <c r="K24" s="8" t="n"/>
      <c r="L24" s="8" t="n"/>
      <c r="M24" s="8" t="n"/>
    </row>
    <row r="25">
      <c r="A25" s="3" t="inlineStr">
        <is>
          <t>C-B6</t>
        </is>
      </c>
      <c r="B25" s="4" t="inlineStr">
        <is>
          <t>Moving to the US</t>
        </is>
      </c>
      <c r="C25" s="4" t="inlineStr">
        <is>
          <t>Green card immigrant</t>
        </is>
      </c>
      <c r="D25" s="4" t="inlineStr">
        <is>
          <t>Jun 2026</t>
        </is>
      </c>
      <c r="E25" s="4" t="inlineStr">
        <is>
          <t>NR</t>
        </is>
      </c>
      <c r="F25" s="4" t="inlineStr">
        <is>
          <t>Single</t>
        </is>
      </c>
      <c r="G25" s="4" t="inlineStr">
        <is>
          <t>First</t>
        </is>
      </c>
      <c r="H25" s="4" t="inlineStr">
        <is>
          <t>Immigrant visa</t>
        </is>
      </c>
      <c r="I25" s="4" t="inlineStr">
        <is>
          <t>Residency from first day as permanent resident</t>
        </is>
      </c>
      <c r="J25" s="4" t="inlineStr"/>
      <c r="K25" s="8" t="n"/>
      <c r="L25" s="8" t="n"/>
      <c r="M25" s="8" t="n"/>
    </row>
    <row r="26">
      <c r="A26" s="3" t="inlineStr">
        <is>
          <t>C-B7</t>
        </is>
      </c>
      <c r="B26" s="4" t="inlineStr">
        <is>
          <t>Moving to the US</t>
        </is>
      </c>
      <c r="C26" s="4" t="inlineStr">
        <is>
          <t>J-1 researcher / teacher</t>
        </is>
      </c>
      <c r="D26" s="4" t="inlineStr">
        <is>
          <t>Aug 2026</t>
        </is>
      </c>
      <c r="E26" s="4" t="inlineStr">
        <is>
          <t>NR</t>
        </is>
      </c>
      <c r="F26" s="4" t="inlineStr">
        <is>
          <t>Single</t>
        </is>
      </c>
      <c r="G26" s="4" t="inlineStr">
        <is>
          <t>First</t>
        </is>
      </c>
      <c r="H26" s="4" t="inlineStr">
        <is>
          <t>University appointment</t>
        </is>
      </c>
      <c r="I26" s="4" t="inlineStr">
        <is>
          <t>Art. 22 two-year exemption</t>
        </is>
      </c>
      <c r="J26" s="4" t="inlineStr"/>
      <c r="K26" s="8" t="n"/>
      <c r="L26" s="8" t="n"/>
      <c r="M26" s="8" t="n"/>
    </row>
    <row r="27">
      <c r="A27" s="3" t="inlineStr">
        <is>
          <t>C-B8</t>
        </is>
      </c>
      <c r="B27" s="4" t="inlineStr">
        <is>
          <t>Moving to the US</t>
        </is>
      </c>
      <c r="C27" s="4" t="inlineStr">
        <is>
          <t>L-1 transferee</t>
        </is>
      </c>
      <c r="D27" s="4" t="inlineStr">
        <is>
          <t>Jul 2026</t>
        </is>
      </c>
      <c r="E27" s="4" t="inlineStr">
        <is>
          <t>NR</t>
        </is>
      </c>
      <c r="F27" s="4" t="inlineStr">
        <is>
          <t>Single</t>
        </is>
      </c>
      <c r="G27" s="4" t="inlineStr">
        <is>
          <t>First</t>
        </is>
      </c>
      <c r="H27" s="4" t="inlineStr">
        <is>
          <t>Paid partly by Indian employer (secondment)</t>
        </is>
      </c>
      <c r="I27" s="4" t="inlineStr">
        <is>
          <t>Indian payroll for a US resident; Art. 16</t>
        </is>
      </c>
      <c r="J27" s="4" t="inlineStr"/>
      <c r="K27" s="8" t="n"/>
      <c r="L27" s="8" t="n"/>
      <c r="M27" s="8" t="n"/>
    </row>
    <row r="28">
      <c r="A28" s="3" t="inlineStr">
        <is>
          <t>C-B9</t>
        </is>
      </c>
      <c r="B28" s="4" t="inlineStr">
        <is>
          <t>Moving to the US</t>
        </is>
      </c>
      <c r="C28" s="4" t="inlineStr">
        <is>
          <t>Visa (H-1B)</t>
        </is>
      </c>
      <c r="D28" s="4" t="inlineStr">
        <is>
          <t>Jul 2026</t>
        </is>
      </c>
      <c r="E28" s="4" t="inlineStr">
        <is>
          <t>NR</t>
        </is>
      </c>
      <c r="F28" s="4" t="inlineStr">
        <is>
          <t>Single</t>
        </is>
      </c>
      <c r="G28" s="4" t="inlineStr">
        <is>
          <t>First</t>
        </is>
      </c>
      <c r="H28" s="4" t="inlineStr">
        <is>
          <t>Owns 20% of an Indian company and an LLP share</t>
        </is>
      </c>
      <c r="I28" s="4" t="inlineStr">
        <is>
          <t>Forms 5471/8865, CFC rules from arrival</t>
        </is>
      </c>
      <c r="J28" s="4" t="inlineStr"/>
      <c r="K28" s="8" t="n"/>
      <c r="L28" s="8" t="n"/>
      <c r="M28" s="8" t="n"/>
    </row>
    <row r="29">
      <c r="A29" s="3" t="inlineStr">
        <is>
          <t>C-B10</t>
        </is>
      </c>
      <c r="B29" s="4" t="inlineStr">
        <is>
          <t>Moving to the US</t>
        </is>
      </c>
      <c r="C29" s="4" t="inlineStr">
        <is>
          <t>Visa (H-1B)</t>
        </is>
      </c>
      <c r="D29" s="4" t="inlineStr">
        <is>
          <t>Jul 2026</t>
        </is>
      </c>
      <c r="E29" s="4" t="inlineStr">
        <is>
          <t>NR</t>
        </is>
      </c>
      <c r="F29" s="4" t="inlineStr">
        <is>
          <t>Single</t>
        </is>
      </c>
      <c r="G29" s="4" t="inlineStr">
        <is>
          <t>First</t>
        </is>
      </c>
      <c r="H29" s="4" t="inlineStr">
        <is>
          <t>Member of an HUF</t>
        </is>
      </c>
      <c r="I29" s="4" t="inlineStr">
        <is>
          <t>Expected output: 'not covered' warning (G-5)</t>
        </is>
      </c>
      <c r="J29" s="4" t="inlineStr"/>
      <c r="K29" s="8" t="n"/>
      <c r="L29" s="8" t="n"/>
      <c r="M29" s="8" t="n"/>
    </row>
    <row r="30">
      <c r="A30" s="3" t="inlineStr">
        <is>
          <t>C-B11</t>
        </is>
      </c>
      <c r="B30" s="4" t="inlineStr">
        <is>
          <t>Moving to the US</t>
        </is>
      </c>
      <c r="C30" s="4" t="inlineStr">
        <is>
          <t>Both spouses on visas</t>
        </is>
      </c>
      <c r="D30" s="4" t="inlineStr">
        <is>
          <t>Jul 2026</t>
        </is>
      </c>
      <c r="E30" s="4" t="inlineStr">
        <is>
          <t>NR (both)</t>
        </is>
      </c>
      <c r="F30" s="4" t="inlineStr">
        <is>
          <t>Couple, same date</t>
        </is>
      </c>
      <c r="G30" s="4" t="inlineStr">
        <is>
          <t>First</t>
        </is>
      </c>
      <c r="H30" s="4" t="inlineStr">
        <is>
          <t>Both employed in India before</t>
        </is>
      </c>
      <c r="I30" s="4" t="inlineStr">
        <is>
          <t>First-year choice + §6013(h) joint election</t>
        </is>
      </c>
      <c r="J30" s="4" t="inlineStr"/>
      <c r="K30" s="8" t="n"/>
      <c r="L30" s="8" t="n"/>
      <c r="M30" s="8" t="n"/>
    </row>
    <row r="31">
      <c r="A31" s="3" t="inlineStr">
        <is>
          <t>C-B12</t>
        </is>
      </c>
      <c r="B31" s="4" t="inlineStr">
        <is>
          <t>Moving to the US</t>
        </is>
      </c>
      <c r="C31" s="4" t="inlineStr">
        <is>
          <t>Visa (H-1B)</t>
        </is>
      </c>
      <c r="D31" s="4" t="inlineStr">
        <is>
          <t>Jul 2026</t>
        </is>
      </c>
      <c r="E31" s="4" t="inlineStr">
        <is>
          <t>NR</t>
        </is>
      </c>
      <c r="F31" s="4" t="inlineStr">
        <is>
          <t>Couple, spouse stays in India</t>
        </is>
      </c>
      <c r="G31" s="4" t="inlineStr">
        <is>
          <t>First</t>
        </is>
      </c>
      <c r="H31" s="4" t="inlineStr">
        <is>
          <t>Spouse has Indian salary</t>
        </is>
      </c>
      <c r="I31" s="4" t="inlineStr">
        <is>
          <t>MFS vs §6013(g) for the non-resident spouse</t>
        </is>
      </c>
      <c r="J31" s="4" t="inlineStr"/>
      <c r="K31" s="8" t="n"/>
      <c r="L31" s="8" t="n"/>
      <c r="M31" s="8" t="n"/>
    </row>
    <row r="32">
      <c r="A32" s="3" t="inlineStr">
        <is>
          <t>C-B13</t>
        </is>
      </c>
      <c r="B32" s="4" t="inlineStr">
        <is>
          <t>Moving to the US</t>
        </is>
      </c>
      <c r="C32" s="4" t="inlineStr">
        <is>
          <t>Visa (H-1B)</t>
        </is>
      </c>
      <c r="D32" s="4" t="inlineStr">
        <is>
          <t>Mar 2026</t>
        </is>
      </c>
      <c r="E32" s="4" t="inlineStr">
        <is>
          <t>NR</t>
        </is>
      </c>
      <c r="F32" s="4" t="inlineStr">
        <is>
          <t>Single</t>
        </is>
      </c>
      <c r="G32" s="4" t="inlineStr">
        <is>
          <t>Repeat</t>
        </is>
      </c>
      <c r="H32" s="4" t="inlineStr">
        <is>
          <t>Lived in the US 2 years ago</t>
        </is>
      </c>
      <c r="I32" s="4" t="inlineStr">
        <is>
          <t>SPT counts prior-year days; earlier PFIC history</t>
        </is>
      </c>
      <c r="J32" s="4" t="inlineStr"/>
      <c r="K32" s="8" t="n"/>
      <c r="L32" s="8" t="n"/>
      <c r="M32" s="8" t="n"/>
    </row>
    <row r="33">
      <c r="A33" s="3" t="inlineStr">
        <is>
          <t>C-B14</t>
        </is>
      </c>
      <c r="B33" s="4" t="inlineStr">
        <is>
          <t>Moving to the US</t>
        </is>
      </c>
      <c r="C33" s="4" t="inlineStr">
        <is>
          <t>US citizen raised in India</t>
        </is>
      </c>
      <c r="D33" s="4" t="inlineStr">
        <is>
          <t>Jul 2026</t>
        </is>
      </c>
      <c r="E33" s="4" t="inlineStr">
        <is>
          <t>NR</t>
        </is>
      </c>
      <c r="F33" s="4" t="inlineStr">
        <is>
          <t>Single</t>
        </is>
      </c>
      <c r="G33" s="4" t="inlineStr">
        <is>
          <t>First</t>
        </is>
      </c>
      <c r="H33" s="4" t="inlineStr">
        <is>
          <t>Has always filed US returns from India</t>
        </is>
      </c>
      <c r="I33" s="4" t="inlineStr">
        <is>
          <t>US scope unchanged; India departure rules</t>
        </is>
      </c>
      <c r="J33" s="4" t="inlineStr"/>
      <c r="K33" s="8" t="n"/>
      <c r="L33" s="8" t="n"/>
      <c r="M33" s="8" t="n"/>
    </row>
    <row r="34">
      <c r="A34" s="3" t="inlineStr">
        <is>
          <t>C-B15</t>
        </is>
      </c>
      <c r="B34" s="4" t="inlineStr">
        <is>
          <t>Moving to the US</t>
        </is>
      </c>
      <c r="C34" s="4" t="inlineStr">
        <is>
          <t>Visa / green card</t>
        </is>
      </c>
      <c r="D34" s="4" t="inlineStr">
        <is>
          <t>Year after move</t>
        </is>
      </c>
      <c r="E34" s="4" t="inlineStr">
        <is>
          <t>RNOR risk in a later year</t>
        </is>
      </c>
      <c r="F34" s="4" t="inlineStr">
        <is>
          <t>Single</t>
        </is>
      </c>
      <c r="G34" s="4" t="inlineStr">
        <is>
          <t>First</t>
        </is>
      </c>
      <c r="H34" s="4" t="inlineStr">
        <is>
          <t>Visits India 130 days; Indian income over ₹15L</t>
        </is>
      </c>
      <c r="I34" s="4" t="inlineStr">
        <is>
          <t>Becoming resident in India again (G-2)</t>
        </is>
      </c>
      <c r="J34" s="4" t="inlineStr"/>
      <c r="K34" s="8" t="n"/>
      <c r="L34" s="8" t="n"/>
      <c r="M34" s="8" t="n"/>
    </row>
    <row r="35">
      <c r="A35" s="3" t="inlineStr">
        <is>
          <t>C-B16</t>
        </is>
      </c>
      <c r="B35" s="4" t="inlineStr">
        <is>
          <t>Moving to the US</t>
        </is>
      </c>
      <c r="C35" s="4" t="inlineStr">
        <is>
          <t>Visa (H-1B)</t>
        </is>
      </c>
      <c r="D35" s="4" t="inlineStr">
        <is>
          <t>Jul 2026</t>
        </is>
      </c>
      <c r="E35" s="4" t="inlineStr">
        <is>
          <t>NR</t>
        </is>
      </c>
      <c r="F35" s="4" t="inlineStr">
        <is>
          <t>Single</t>
        </is>
      </c>
      <c r="G35" s="4" t="inlineStr">
        <is>
          <t>First</t>
        </is>
      </c>
      <c r="H35" s="4" t="inlineStr">
        <is>
          <t>Keeps working remotely for Indian employer for 2 months</t>
        </is>
      </c>
      <c r="I35" s="4" t="inlineStr">
        <is>
          <t>Indian pay received while US resident (G-38)</t>
        </is>
      </c>
      <c r="J35" s="4" t="inlineStr"/>
      <c r="K35" s="8" t="n"/>
      <c r="L35" s="8" t="n"/>
      <c r="M35" s="8" t="n"/>
    </row>
    <row r="37">
      <c r="A37" s="2" t="inlineStr">
        <is>
          <t>Missing cases: add them in the rows below, starting with ID C-NEW1.</t>
        </is>
      </c>
    </row>
    <row r="38">
      <c r="A38" s="3" t="inlineStr">
        <is>
          <t>C-NEW1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>
      <c r="A39" s="3" t="inlineStr">
        <is>
          <t>C-NEW2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</row>
    <row r="40">
      <c r="A40" s="3" t="inlineStr">
        <is>
          <t>C-NEW3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>
      <c r="A41" s="3" t="inlineStr">
        <is>
          <t>C-NEW4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</row>
    <row r="42">
      <c r="A42" s="3" t="inlineStr">
        <is>
          <t>C-NEW5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</sheetData>
  <dataValidations count="1">
    <dataValidation sqref="K2:K35" showDropDown="0" showInputMessage="0" showErrorMessage="0" allowBlank="1" type="list">
      <formula1>"Yes,No - merge,No - drop"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  <col width="16" customWidth="1" min="3" max="3"/>
    <col width="50" customWidth="1" min="4" max="4"/>
  </cols>
  <sheetData>
    <row r="1">
      <c r="A1" s="6" t="inlineStr">
        <is>
          <t>Part</t>
        </is>
      </c>
      <c r="B1" s="6" t="inlineStr">
        <is>
          <t>Draft text (example finding: NRE account on return to India)</t>
        </is>
      </c>
      <c r="C1" s="6" t="inlineStr">
        <is>
          <t>Right level of detail?</t>
        </is>
      </c>
      <c r="D1" s="6" t="inlineStr">
        <is>
          <t>Correction / comments</t>
        </is>
      </c>
    </row>
    <row r="2">
      <c r="A2" s="3" t="inlineStr">
        <is>
          <t>What changes</t>
        </is>
      </c>
      <c r="B2" s="4" t="inlineStr">
        <is>
          <t>The client becomes resident in India under FEMA on 15 Aug 2026. The Axis NRE account (₹19L) has to be converted.</t>
        </is>
      </c>
      <c r="C2" s="8" t="n"/>
      <c r="D2" s="8" t="n"/>
    </row>
    <row r="3">
      <c r="A3" s="3" t="inlineStr">
        <is>
          <t>Why</t>
        </is>
      </c>
      <c r="B3" s="4" t="inlineStr">
        <is>
          <t>FEMA. The NRE interest exemption (s.10(4)(ii)) applies only to a person resident outside India under FEMA. [Likely; ITA 2025 section to map]</t>
        </is>
      </c>
      <c r="C3" s="8" t="n"/>
      <c r="D3" s="8" t="n"/>
    </row>
    <row r="4">
      <c r="A4" s="3" t="inlineStr">
        <is>
          <t>What to do</t>
        </is>
      </c>
      <c r="B4" s="4" t="inlineStr">
        <is>
          <t>1. Client, on return: tell the bank in writing; redesignate the NRE savings account as a resident account, or move the foreign-currency part to an RFC account.
2. Client: NRE deposits may run to maturity; interest from the return date is taxable. [Likely; check the bank's terms]
3. Specialist: include interest from the return date in Indian income. While RNOR, check FCNR/RFC money, whose interest stays exempt.
4. Specialist: if the client was a US resident for part of the year, report that period's interest on the US return.</t>
        </is>
      </c>
      <c r="C4" s="8" t="n"/>
      <c r="D4" s="8" t="n"/>
    </row>
    <row r="5">
      <c r="A5" s="3" t="inlineStr">
        <is>
          <t>Forms and documents</t>
        </is>
      </c>
      <c r="B5" s="4" t="inlineStr">
        <is>
          <t>The bank's redesignation form; passport copy with the arrival stamp; the bank's interest certificate split at the return date.</t>
        </is>
      </c>
      <c r="C5" s="8" t="n"/>
      <c r="D5" s="8" t="n"/>
    </row>
    <row r="6">
      <c r="A6" s="3" t="inlineStr">
        <is>
          <t>Deadline</t>
        </is>
      </c>
      <c r="B6" s="4" t="inlineStr">
        <is>
          <t>15 Aug 2026 (the return date).</t>
        </is>
      </c>
      <c r="C6" s="8" t="n"/>
      <c r="D6" s="8" t="n"/>
    </row>
    <row r="7">
      <c r="A7" s="3" t="inlineStr">
        <is>
          <t>Cost of not acting</t>
        </is>
      </c>
      <c r="B7" s="4" t="inlineStr">
        <is>
          <t>Indian tax plus interest on interest wrongly treated as exempt. The FEMA penalty needs legal confirmation.</t>
        </is>
      </c>
      <c r="C7" s="8" t="n"/>
      <c r="D7" s="8" t="n"/>
    </row>
    <row r="8">
      <c r="A8" s="3" t="inlineStr">
        <is>
          <t>Doesn't apply if</t>
        </is>
      </c>
      <c r="B8" s="4" t="inlineStr">
        <is>
          <t>The client is back only on a visit and keeps FEMA non-resident status — specialist judgement.</t>
        </is>
      </c>
      <c r="C8" s="8" t="n"/>
      <c r="D8" s="8" t="n"/>
    </row>
    <row r="9">
      <c r="A9" s="3" t="inlineStr">
        <is>
          <t>Confidence</t>
        </is>
      </c>
      <c r="B9" s="4" t="inlineStr">
        <is>
          <t>Likely</t>
        </is>
      </c>
      <c r="C9" s="8" t="n"/>
      <c r="D9" s="8" t="n"/>
    </row>
  </sheetData>
  <dataValidations count="1">
    <dataValidation sqref="C2:C9" showDropDown="0" showInputMessage="0" showErrorMessage="0" allowBlank="1" type="list">
      <formula1>"Right,Too little,Too much,Wrong"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0" customWidth="1" min="3" max="3"/>
    <col width="28" customWidth="1" min="4" max="4"/>
    <col width="50" customWidth="1" min="5" max="5"/>
  </cols>
  <sheetData>
    <row r="1">
      <c r="A1" s="5" t="inlineStr">
        <is>
          <t>Decision windows used in the rules</t>
        </is>
      </c>
    </row>
    <row r="2">
      <c r="A2" s="6" t="inlineStr">
        <is>
          <t>Direction</t>
        </is>
      </c>
      <c r="B2" s="6" t="inlineStr">
        <is>
          <t>Window</t>
        </is>
      </c>
      <c r="C2" s="6" t="inlineStr">
        <is>
          <t>US status</t>
        </is>
      </c>
      <c r="D2" s="6" t="inlineStr">
        <is>
          <t>India status</t>
        </is>
      </c>
      <c r="E2" s="6" t="inlineStr">
        <is>
          <t>Typical effect</t>
        </is>
      </c>
    </row>
    <row r="3">
      <c r="A3" s="4" t="inlineStr">
        <is>
          <t>Returning to India</t>
        </is>
      </c>
      <c r="B3" s="4" t="inlineStr">
        <is>
          <t>W1 before leaving</t>
        </is>
      </c>
      <c r="C3" s="4" t="inlineStr">
        <is>
          <t>Resident</t>
        </is>
      </c>
      <c r="D3" s="4" t="inlineStr">
        <is>
          <t>NR</t>
        </is>
      </c>
      <c r="E3" s="4" t="inlineStr">
        <is>
          <t>US taxes; India doesn't.</t>
        </is>
      </c>
    </row>
    <row r="4">
      <c r="A4" s="4" t="inlineStr"/>
      <c r="B4" s="4" t="inlineStr">
        <is>
          <t>W2 RNOR years (move FY and up to about 2 more)</t>
        </is>
      </c>
      <c r="C4" s="4" t="inlineStr">
        <is>
          <t>Non-resident</t>
        </is>
      </c>
      <c r="D4" s="4" t="inlineStr">
        <is>
          <t>RNOR</t>
        </is>
      </c>
      <c r="E4" s="4" t="inlineStr">
        <is>
          <t>Often neither country taxes foreign-source gains. Exceptions: US real estate, and US-source income (US withholding still applies). India taxes it if it is first received in India (G-16).</t>
        </is>
      </c>
    </row>
    <row r="5">
      <c r="A5" s="4" t="inlineStr"/>
      <c r="B5" s="4" t="inlineStr">
        <is>
          <t>W3 after becoming ROR</t>
        </is>
      </c>
      <c r="C5" s="4" t="inlineStr">
        <is>
          <t>Non-resident</t>
        </is>
      </c>
      <c r="D5" s="4" t="inlineStr">
        <is>
          <t>ROR</t>
        </is>
      </c>
      <c r="E5" s="4" t="inlineStr">
        <is>
          <t>India taxes worldwide income, with credit for US tax.</t>
        </is>
      </c>
    </row>
    <row r="6">
      <c r="A6" s="4" t="inlineStr">
        <is>
          <t>Moving to the US</t>
        </is>
      </c>
      <c r="B6" s="4" t="inlineStr">
        <is>
          <t>W1 before arriving</t>
        </is>
      </c>
      <c r="C6" s="4" t="inlineStr">
        <is>
          <t>Non-resident</t>
        </is>
      </c>
      <c r="D6" s="4" t="inlineStr">
        <is>
          <t>Resident</t>
        </is>
      </c>
      <c r="E6" s="4" t="inlineStr">
        <is>
          <t>India only. Best time to sell appreciated Indian assets.</t>
        </is>
      </c>
    </row>
    <row r="7">
      <c r="A7" s="4" t="inlineStr"/>
      <c r="B7" s="4" t="inlineStr">
        <is>
          <t>W2 after arriving</t>
        </is>
      </c>
      <c r="C7" s="4" t="inlineStr">
        <is>
          <t>Resident</t>
        </is>
      </c>
      <c r="D7" s="4" t="inlineStr">
        <is>
          <t>NR (or ROR in the departure FY)</t>
        </is>
      </c>
      <c r="E7" s="4" t="inlineStr">
        <is>
          <t>Both may tax. No US cost reset.</t>
        </is>
      </c>
    </row>
    <row r="9">
      <c r="A9" s="5" t="inlineStr">
        <is>
          <t>Example timelines</t>
        </is>
      </c>
    </row>
    <row r="10">
      <c r="A10" s="6" t="inlineStr">
        <is>
          <t>Example</t>
        </is>
      </c>
      <c r="B10" s="6" t="inlineStr">
        <is>
          <t>US tax year 2026</t>
        </is>
      </c>
      <c r="C10" s="6" t="inlineStr">
        <is>
          <t>India FY 2025-26 (to 31 Mar 2026)</t>
        </is>
      </c>
      <c r="D10" s="6" t="inlineStr">
        <is>
          <t>India FY 2026-27</t>
        </is>
      </c>
      <c r="E10" s="6" t="inlineStr">
        <is>
          <t>Months resident in both</t>
        </is>
      </c>
    </row>
    <row r="11">
      <c r="A11" s="4" t="inlineStr">
        <is>
          <t>Returns to India 15 Aug 2026 (H-1B, 9 yrs in US)</t>
        </is>
      </c>
      <c r="B11" s="4" t="inlineStr">
        <is>
          <t>Resident 1 Jan–15 Aug; non-resident after</t>
        </is>
      </c>
      <c r="C11" s="4" t="inlineStr">
        <is>
          <t>NR</t>
        </is>
      </c>
      <c r="D11" s="4" t="inlineStr">
        <is>
          <t>RNOR for the whole year</t>
        </is>
      </c>
      <c r="E11" s="4" t="inlineStr">
        <is>
          <t>Apr–Aug 2026</t>
        </is>
      </c>
    </row>
    <row r="12">
      <c r="A12" s="4" t="inlineStr">
        <is>
          <t>Arrives in US 10 Feb 2026 (H-1B)</t>
        </is>
      </c>
      <c r="B12" s="4" t="inlineStr">
        <is>
          <t>Non-resident to 9 Feb; resident from 10 Feb</t>
        </is>
      </c>
      <c r="C12" s="4" t="inlineStr">
        <is>
          <t>ROR for the whole year</t>
        </is>
      </c>
      <c r="D12" s="4" t="inlineStr">
        <is>
          <t>NR for the whole year</t>
        </is>
      </c>
      <c r="E12" s="4" t="inlineStr">
        <is>
          <t>10 Feb–31 Mar 2026</t>
        </is>
      </c>
    </row>
    <row r="14">
      <c r="A14" s="5" t="inlineStr">
        <is>
          <t>Confidence tags</t>
        </is>
      </c>
    </row>
    <row r="15">
      <c r="A15" s="3" t="inlineStr">
        <is>
          <t>Certain</t>
        </is>
      </c>
      <c r="B15" s="4" t="inlineStr">
        <is>
          <t>Settled law, routinely applied.</t>
        </is>
      </c>
    </row>
    <row r="16">
      <c r="A16" s="3" t="inlineStr">
        <is>
          <t>Likely</t>
        </is>
      </c>
      <c r="B16" s="4" t="inlineStr">
        <is>
          <t>Strong reading, widely applied, but with edge cases or fact-dependence.</t>
        </is>
      </c>
    </row>
    <row r="17">
      <c r="A17" s="3" t="inlineStr">
        <is>
          <t>Verify</t>
        </is>
      </c>
      <c r="B17" s="4" t="inlineStr">
        <is>
          <t>Must be checked against the statute, treaty or ITA 2025 renumbering before we build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2026-10-03T05:58:14Z</dcterms:created>
  <dcterms:modified xsi:type="dcterms:W3CDTF">2026-10-03T05:58:14Z</dcterms:modified>
</cp:coreProperties>
</file>